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Releases\RCPA SPIA Ref Sets_July 2026\"/>
    </mc:Choice>
  </mc:AlternateContent>
  <xr:revisionPtr revIDLastSave="0" documentId="13_ncr:1_{F288A6BB-FB61-4981-A1FB-91DC2DA9EA94}" xr6:coauthVersionLast="47" xr6:coauthVersionMax="47" xr10:uidLastSave="{00000000-0000-0000-0000-000000000000}"/>
  <bookViews>
    <workbookView xWindow="-120" yWindow="-120" windowWidth="30960" windowHeight="15720" activeTab="1" xr2:uid="{00000000-000D-0000-FFFF-FFFF00000000}"/>
  </bookViews>
  <sheets>
    <sheet name="Rev History" sheetId="4" r:id="rId1"/>
    <sheet name="RCPA SPIA Requesting_Jun 2026" sheetId="6" r:id="rId2"/>
  </sheets>
  <definedNames>
    <definedName name="_xlnm._FilterDatabase" localSheetId="1" hidden="1">'RCPA SPIA Requesting_Jun 2026'!$A$1:$AI$51</definedName>
    <definedName name="_xlnm.Print_Area" localSheetId="0">'Rev History'!$A$1:$D$15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6" l="1"/>
  <c r="D24" i="6" l="1"/>
  <c r="D20" i="6" l="1"/>
  <c r="D42" i="6"/>
  <c r="D15" i="6" l="1"/>
  <c r="D16" i="6"/>
  <c r="D17" i="6"/>
  <c r="D18" i="6"/>
  <c r="D19" i="6"/>
  <c r="D21" i="6"/>
  <c r="D22" i="6"/>
  <c r="D23" i="6"/>
  <c r="D26" i="6"/>
  <c r="D27" i="6"/>
  <c r="D28" i="6"/>
  <c r="D29" i="6"/>
  <c r="D30" i="6"/>
  <c r="D31" i="6"/>
  <c r="D32" i="6"/>
  <c r="D33" i="6"/>
  <c r="D34" i="6"/>
  <c r="D35" i="6"/>
  <c r="D36" i="6"/>
  <c r="D37" i="6"/>
  <c r="D38" i="6"/>
  <c r="D39" i="6"/>
  <c r="D40" i="6"/>
  <c r="D41" i="6"/>
  <c r="D43" i="6"/>
  <c r="D44" i="6"/>
  <c r="D45" i="6"/>
  <c r="D46" i="6"/>
  <c r="D47" i="6"/>
  <c r="D48" i="6"/>
  <c r="D49" i="6"/>
  <c r="D50" i="6"/>
  <c r="D51" i="6"/>
  <c r="D3" i="6"/>
  <c r="D4" i="6"/>
  <c r="D2" i="6"/>
  <c r="D5" i="6" l="1"/>
  <c r="D6" i="6"/>
  <c r="D7" i="6"/>
  <c r="D8" i="6"/>
  <c r="D9" i="6"/>
  <c r="D10" i="6"/>
  <c r="D11" i="6"/>
  <c r="D12" i="6"/>
  <c r="D14" i="6"/>
  <c r="D13" i="6"/>
</calcChain>
</file>

<file path=xl/sharedStrings.xml><?xml version="1.0" encoding="utf-8"?>
<sst xmlns="http://schemas.openxmlformats.org/spreadsheetml/2006/main" count="377" uniqueCount="253">
  <si>
    <t xml:space="preserve">Standardised Pathology Informatics in Australia (SPIA)
</t>
  </si>
  <si>
    <t>Document History:</t>
  </si>
  <si>
    <t>Version</t>
  </si>
  <si>
    <t>Reason for Change</t>
  </si>
  <si>
    <t>Author</t>
  </si>
  <si>
    <t>Date</t>
  </si>
  <si>
    <t>Initial Terminology for Requesting pathology, published by the RCPA Pathology Units and Terminology Standardisation Project.</t>
  </si>
  <si>
    <t xml:space="preserve">Michael Legg / 
Dr Christiaan Swanepoel </t>
  </si>
  <si>
    <t>Added Document Revision History worksheet.</t>
  </si>
  <si>
    <t>Donna Moore</t>
  </si>
  <si>
    <r>
      <t>Changed the filename from "</t>
    </r>
    <r>
      <rPr>
        <i/>
        <sz val="11"/>
        <rFont val="Calibri"/>
        <family val="2"/>
        <scheme val="minor"/>
      </rPr>
      <t xml:space="preserve">PUTS Terminology for Requesting Pathology Subset </t>
    </r>
    <r>
      <rPr>
        <sz val="11"/>
        <rFont val="Calibri"/>
        <family val="2"/>
        <scheme val="minor"/>
      </rPr>
      <t>" to "APUTS Requesting Pathology terminology reference set".
Added additional SNOMED codes to this list after review from WG2 from PITUS project.
Added "WBC Diff; Differential" to synonyms for White cell count.</t>
    </r>
  </si>
  <si>
    <t>After public feedback and approval by PITUS steering committee the following changes were made: 
- Changed preferred name to 'Thrombin time' (was 'Thrombin') .
- Changed the preferred name for a number of newly added v2.0 tests, refer to those tests marked with '2.1' in the version column.</t>
  </si>
  <si>
    <t>Updated and new tests added, refer to '3.0' in the 'Version' and 'History' fields for details.
Updated after public comments.</t>
  </si>
  <si>
    <r>
      <t xml:space="preserve">Changes in this version include:
- Removed additonal 'white space' to facilitation FHIR transformation work
- Added new SNOMED-CT terms approved by PITUS 18-20 wg2
- Amended selected SNOMED-CT terms
- Included new columns: </t>
    </r>
    <r>
      <rPr>
        <i/>
        <sz val="11"/>
        <rFont val="Calibri"/>
        <family val="2"/>
        <scheme val="minor"/>
      </rPr>
      <t>Discipline</t>
    </r>
    <r>
      <rPr>
        <sz val="11"/>
        <rFont val="Calibri"/>
        <family val="2"/>
        <scheme val="minor"/>
      </rPr>
      <t xml:space="preserve">; </t>
    </r>
    <r>
      <rPr>
        <i/>
        <sz val="11"/>
        <rFont val="Calibri"/>
        <family val="2"/>
        <scheme val="minor"/>
      </rPr>
      <t>SNOMED</t>
    </r>
    <r>
      <rPr>
        <sz val="11"/>
        <rFont val="Calibri"/>
        <family val="2"/>
        <scheme val="minor"/>
      </rPr>
      <t xml:space="preserve">: </t>
    </r>
    <r>
      <rPr>
        <i/>
        <sz val="11"/>
        <rFont val="Calibri"/>
        <family val="2"/>
        <scheme val="minor"/>
      </rPr>
      <t>Subgroup</t>
    </r>
    <r>
      <rPr>
        <sz val="11"/>
        <rFont val="Calibri"/>
        <family val="2"/>
        <scheme val="minor"/>
      </rPr>
      <t xml:space="preserve"> and </t>
    </r>
    <r>
      <rPr>
        <i/>
        <sz val="11"/>
        <rFont val="Calibri"/>
        <family val="2"/>
        <scheme val="minor"/>
      </rPr>
      <t>SNOMED</t>
    </r>
  </si>
  <si>
    <t>Vanessa Cameron</t>
  </si>
  <si>
    <t>Changes in this version include:
- Added new SNOMED-CT terms approved by PITUS 18-20 wg2
- Amended selected SNOMED-CT terms
- Updated content for Discipline and SNOMED Subgroup columns</t>
  </si>
  <si>
    <t>Changes in this version include:
- Change of reference to Standardised Pathology Informatics in Australia
- Updated copyright information
- Added new SNOMED-CT terms approved by PITUS 18-20 wg2
- Amended selected SNOMED-CT terms
- Updated content for Discipline and SNOMED Subgroup columns
- Added Specimen types
- Added Subgroups</t>
  </si>
  <si>
    <t>Changes in this version include:
- Amendments as per SNOMED International six monthly maintenance update October 2021
- Addition of new synonyms and/or specimen types to existing terms as requested by Sonic
- Updates to Gynae Cytology terms recommended by The Medical Services Advisory Committee (2017) post ADHA review</t>
  </si>
  <si>
    <t>Changes in this version include:
- Corrections to eight SNOMED CT ID errors</t>
  </si>
  <si>
    <t xml:space="preserve">Changes in this version include:
- Alignment of RCPA SPIA Requesting and Reporting Preferred terms
- Addition of new synonyms for microbiology taxonomy updates
- Addition of new SNOMED-CT terms approved by PI Pilot 22-24 </t>
  </si>
  <si>
    <t>RCPA Preferred term</t>
  </si>
  <si>
    <t>RCPA Synonyms</t>
  </si>
  <si>
    <t>Usage guidance</t>
  </si>
  <si>
    <t>Length</t>
  </si>
  <si>
    <t>Discipline</t>
  </si>
  <si>
    <t>Subgroup</t>
  </si>
  <si>
    <t>Specimen</t>
  </si>
  <si>
    <t>Terminology binding (SNOMED CT-AU)</t>
  </si>
  <si>
    <t>History</t>
  </si>
  <si>
    <t>1,1,1-Trichloroethane </t>
  </si>
  <si>
    <t>Chemical pathology</t>
  </si>
  <si>
    <t>Urine</t>
  </si>
  <si>
    <t>Jul 2024 - Added by PI Pilot 22-24</t>
  </si>
  <si>
    <t xml:space="preserve">1,5-Anhydroglucitol </t>
  </si>
  <si>
    <t>1,5-AG;Glycomark test</t>
  </si>
  <si>
    <t>Serum</t>
  </si>
  <si>
    <t>4.0 - Added by PITUS 18-20</t>
  </si>
  <si>
    <t>11-Deoxycorticosterone </t>
  </si>
  <si>
    <t>Serum;Plasma</t>
  </si>
  <si>
    <t>11-Deoxycortisol</t>
  </si>
  <si>
    <t xml:space="preserve">3.0 - Added by PITUS-16 </t>
  </si>
  <si>
    <t>11-Deoxycortisol urine</t>
  </si>
  <si>
    <t>14-3-3 protein CSF</t>
  </si>
  <si>
    <t>14-3-3 protein cerebrospinal fluid;CJD protein;Creutzfeldt-Jakob disease protein</t>
  </si>
  <si>
    <t>CSF</t>
  </si>
  <si>
    <t>17-Hydroxyprogesterone</t>
  </si>
  <si>
    <t>17 OH Progesterone;17-OHP;Hydroxy Progesterone</t>
  </si>
  <si>
    <t>2.1 - Changed preferred term from '17-Hydroxprogesterone' 
2.0 - Added by PITUS-14</t>
  </si>
  <si>
    <t>17-Hydroxyprogesterone saliva</t>
  </si>
  <si>
    <t>17 OH Progesterone; 17-OHP;Hydroxy Progesterone</t>
  </si>
  <si>
    <t>Saliva</t>
  </si>
  <si>
    <t>4.0 - Preferred term amended from Salivary 17-hydroxyprogesterone for SPIA compliance + synonym added
2.0 - Added by PITUS-14</t>
  </si>
  <si>
    <t xml:space="preserve">21-Hydroxylase Ab </t>
  </si>
  <si>
    <t>Anti Adrenal Ab;21OHAA;Steroid cell Ab;Adrenal Ab</t>
  </si>
  <si>
    <t>Immunopathology or Chemical pathology</t>
  </si>
  <si>
    <t xml:space="preserve">Jul 2024 - Synonyms added
3.0 - Added by PITUS-16 </t>
  </si>
  <si>
    <t>3-Hydroxy-3-methylglutarate</t>
  </si>
  <si>
    <t>3-Methoxytyramine</t>
  </si>
  <si>
    <t>3-MT</t>
  </si>
  <si>
    <t>Plasma</t>
  </si>
  <si>
    <t>3-MT urine</t>
  </si>
  <si>
    <t>3-Methoxytyramine urine 24h</t>
  </si>
  <si>
    <t>3-MT 24 hr urine</t>
  </si>
  <si>
    <t>24 hr urine</t>
  </si>
  <si>
    <t>3.0 - Changed preferred term from '3-Methoxythyramine'; Added synonym
2.0 - Added by PITUS-14</t>
  </si>
  <si>
    <t>4-Hydroxy-3-methoxymandelate urine 24h</t>
  </si>
  <si>
    <t>3-Methyl,4-hydroxymandelate;HMMA urine</t>
  </si>
  <si>
    <t>4-Hydroxyphenylacetate  </t>
  </si>
  <si>
    <t>4-Hydroxyphenylacetic acid sulfate; SulphO 2-(4-hydroxyphenyl)acetate </t>
  </si>
  <si>
    <t>5-HIAA urine</t>
  </si>
  <si>
    <t>HIAA;5 Hydroxyindole acetic acid;5HIAA</t>
  </si>
  <si>
    <t>Jul 2024 - Updated Preferred term to urine specific code
2.0 - Added by PITUS-14</t>
  </si>
  <si>
    <t>5-HIAA urine 24h</t>
  </si>
  <si>
    <t>5-Nucleotidase</t>
  </si>
  <si>
    <t>7-Dehydrocholesterol </t>
  </si>
  <si>
    <t>Acanthamoeba sp culture</t>
  </si>
  <si>
    <t>Acanthamoeba detection</t>
  </si>
  <si>
    <t>Microbiology</t>
  </si>
  <si>
    <t>Microbial Culture</t>
  </si>
  <si>
    <t>Any</t>
  </si>
  <si>
    <t xml:space="preserve">Jul 2024 - Addition of 'sp' to Preferred term
3.0 - Added by PITUS-16 </t>
  </si>
  <si>
    <t>Acanthamoeba sp identification</t>
  </si>
  <si>
    <t>Acetylcholine receptor Ab</t>
  </si>
  <si>
    <t>AChR Ab;Myasthenia gravis antibodies;AChR antibodies;Myasthenia antibodies</t>
  </si>
  <si>
    <t>Immunopathology</t>
  </si>
  <si>
    <t>3.0 - Added synonym 'Myasthenia antibodies'
2.1 - Changed preferred term from 'Acetylcholine Receptor Ab'
2.0 - Added by PITUS-14</t>
  </si>
  <si>
    <t>Aciclovir level </t>
  </si>
  <si>
    <t>Acyclovir;ACV;Zovirax;;Cyclir;Lovir; Acihexal; Valaciclovir;Valtrex;Valacyclovir</t>
  </si>
  <si>
    <t>Drug measurement</t>
  </si>
  <si>
    <t>Acid fast bacilli identification</t>
  </si>
  <si>
    <t>AFB identification</t>
  </si>
  <si>
    <t>Mycobacteria culture</t>
  </si>
  <si>
    <t xml:space="preserve">4.0 - Preferred term changed from 'Acid fast bacilli culture'
3.0 - Added by PITUS-16 </t>
  </si>
  <si>
    <t>Acid fast bacilli microscopy</t>
  </si>
  <si>
    <t>AFB microscopy</t>
  </si>
  <si>
    <t>Mycobacterial microscopy</t>
  </si>
  <si>
    <t>Urine;CSF</t>
  </si>
  <si>
    <t>Acid fast bacilli nucleic acid</t>
  </si>
  <si>
    <t>Acinetobacter sp screen</t>
  </si>
  <si>
    <t>Infection control screen</t>
  </si>
  <si>
    <t>ACTH</t>
  </si>
  <si>
    <t>Activated clotting time</t>
  </si>
  <si>
    <t>ACT;Activated coagulation time</t>
  </si>
  <si>
    <t>Haematology</t>
  </si>
  <si>
    <t>Adalimumab level </t>
  </si>
  <si>
    <t>Exemptia;Adfrar;Adaly;Humira;Amgevita;Hadlima;Hyrimoz;Idacio;Yuflyma;Adalimumab Ab</t>
  </si>
  <si>
    <t>ADAMTS13 Ab </t>
  </si>
  <si>
    <t>ADAMTS-13 antibodies;ADAM-TS-13 antibodies;ADAM TS-13 Ab;ADAMTS13 inhibitor </t>
  </si>
  <si>
    <t>ADAMTS13 activity</t>
  </si>
  <si>
    <t>ADAM metallopeptidase with thrombospondin type 1 motif 13;ADAMTS-13 activity assay;ADAM TS-13 activity assay;vWf cleaving protease</t>
  </si>
  <si>
    <t>Coagulation</t>
  </si>
  <si>
    <t>Platelet poor plasma</t>
  </si>
  <si>
    <t>ADAMTS13 functional inhibitor</t>
  </si>
  <si>
    <t>vWf cleaving protease functional inhibitor</t>
  </si>
  <si>
    <t>Adenine phosphoribosyltransferase  </t>
  </si>
  <si>
    <t>Blood</t>
  </si>
  <si>
    <t>Adenosine deaminase</t>
  </si>
  <si>
    <t>ADA;ADA2;ADA level</t>
  </si>
  <si>
    <t>Chemical pathology or Haematology</t>
  </si>
  <si>
    <t>Jul 2024 - Added by PI Pilot 22-24
3.0 - Added by PITUS-16</t>
  </si>
  <si>
    <t>Adenosine deaminase CSF</t>
  </si>
  <si>
    <t>ADA CSF;ADA2;ADA level</t>
  </si>
  <si>
    <t>Adenosine deaminase pleural fluid</t>
  </si>
  <si>
    <t>ADA pleural fluid;ADA2</t>
  </si>
  <si>
    <t>Pleural fluid</t>
  </si>
  <si>
    <t>Adenovirus Ab</t>
  </si>
  <si>
    <t>Adenovirus antibodies</t>
  </si>
  <si>
    <t>Serology</t>
  </si>
  <si>
    <t>Adenovirus Ag faeces</t>
  </si>
  <si>
    <t>Faeces</t>
  </si>
  <si>
    <t xml:space="preserve">3.0 - Changed preferred term from 'Adenovirus Ag Faeces'
1.0 - Added by PUTS </t>
  </si>
  <si>
    <t>Adenovirus nucleic acid</t>
  </si>
  <si>
    <t xml:space="preserve">Jul 2024 -  Added Synonyms, changed Specimen from Serum
3.0 - Added by PITUS-16 </t>
  </si>
  <si>
    <t>Adrenal Ab</t>
  </si>
  <si>
    <t>Adrenal antibodies</t>
  </si>
  <si>
    <t>Adrenaline</t>
  </si>
  <si>
    <t>Epinephrine</t>
  </si>
  <si>
    <t xml:space="preserve">3.1 - Addition of synonym 'Epinephrine' to reflect TGA medication update
3.0 - Added by PITUS-16 </t>
  </si>
  <si>
    <t>Epinephine 24 hr urine</t>
  </si>
  <si>
    <t>3.0 - Changed preferred term from 'Adrenaline 24 hr urine'
2.0 - Added by PITUS-14</t>
  </si>
  <si>
    <t>AFP</t>
  </si>
  <si>
    <t xml:space="preserve">Alpha-fetoprotein </t>
  </si>
  <si>
    <t xml:space="preserve">4.0 - Preferred term changed from 'Alpha fetoprotein' to align with reporting term
1.0 - Added by PUTS </t>
  </si>
  <si>
    <t>AFP amniotic fluid</t>
  </si>
  <si>
    <t>Alpha-fetoprotein amniotic fluid</t>
  </si>
  <si>
    <t>Amniotic fluid</t>
  </si>
  <si>
    <t xml:space="preserve">4.0 - Preferred term changed from 'Alpha fetoprotein' to align with reporting term
3.0 - Added by PITUS-16 </t>
  </si>
  <si>
    <t>AFP antenatal </t>
  </si>
  <si>
    <t>Alphafetoprotein antental;AFP ANC</t>
  </si>
  <si>
    <t>SNOMED CT Fully Specified Name</t>
  </si>
  <si>
    <t xml:space="preserve"> 1,1,1-Trichloroethane measurement </t>
  </si>
  <si>
    <t xml:space="preserve"> Measurement of 1,5-Anhydroglucitol in serum specimen </t>
  </si>
  <si>
    <t xml:space="preserve"> 11-deoxycorticosterone measurement </t>
  </si>
  <si>
    <t xml:space="preserve"> Serum 11-deoxycortisol measurement </t>
  </si>
  <si>
    <t xml:space="preserve"> Quantitative measurement of 11-deoxycortisol in urine specimen </t>
  </si>
  <si>
    <t xml:space="preserve"> Measurement of 14-3-3 protein concentration in cerebrospinal fluid </t>
  </si>
  <si>
    <t xml:space="preserve"> 17 Hydroxyprogesterone measurement, serum </t>
  </si>
  <si>
    <t xml:space="preserve"> Saliva 17a-hydroxy progesterone measurement </t>
  </si>
  <si>
    <t xml:space="preserve"> Measurement of 21-hydroxylase antibody  </t>
  </si>
  <si>
    <t xml:space="preserve"> 3-Hydroxy,3-methylglutarate measurement </t>
  </si>
  <si>
    <t xml:space="preserve"> Measurement of 3-methoxytyramine in plasma specimen </t>
  </si>
  <si>
    <t xml:space="preserve"> Urine 3-methoxytyramine/creatinine ratio </t>
  </si>
  <si>
    <t xml:space="preserve"> 24 hour urine 3-methoxytyramine output </t>
  </si>
  <si>
    <t xml:space="preserve"> 3-Methyl,4-hydroxymandelate measurement</t>
  </si>
  <si>
    <t>121309009 </t>
  </si>
  <si>
    <t xml:space="preserve"> 4-Hydroxyphenylacetate measurement </t>
  </si>
  <si>
    <t>82552000 </t>
  </si>
  <si>
    <t xml:space="preserve"> 5-Hydroxyindoleacetic acid measurement, quantitative, urine </t>
  </si>
  <si>
    <t xml:space="preserve"> 24 hour urine 5-hydroxyindole acetic acid output measurement </t>
  </si>
  <si>
    <t xml:space="preserve"> 5' Nucleotidase measurement </t>
  </si>
  <si>
    <t>413359005 </t>
  </si>
  <si>
    <t xml:space="preserve"> 7-Dehydrocholesterol level </t>
  </si>
  <si>
    <t xml:space="preserve"> Acanthamoeba species culture </t>
  </si>
  <si>
    <t xml:space="preserve"> Acanthamoeba species identification </t>
  </si>
  <si>
    <t xml:space="preserve"> Measurement of acetylcholine receptor antibody </t>
  </si>
  <si>
    <t xml:space="preserve"> Measurement of aciclovir </t>
  </si>
  <si>
    <t xml:space="preserve"> Acid fast bacteria identification </t>
  </si>
  <si>
    <t xml:space="preserve"> Microscopy (acid fast bacilli) </t>
  </si>
  <si>
    <t>766101000168107</t>
  </si>
  <si>
    <t xml:space="preserve"> Acid fast bacilli nucleic acid assay </t>
  </si>
  <si>
    <t xml:space="preserve"> Acinetobacter species screening test </t>
  </si>
  <si>
    <t xml:space="preserve"> Adrenocorticotropic hormone measurement </t>
  </si>
  <si>
    <t xml:space="preserve"> Coagulation time, activated </t>
  </si>
  <si>
    <t>1393151000168101</t>
  </si>
  <si>
    <t xml:space="preserve"> Serum adalimumab measurement </t>
  </si>
  <si>
    <t>873991000168100</t>
  </si>
  <si>
    <t xml:space="preserve"> Measurement of anti-a disintegrin and metalloproteinase with a thrombospondin type 1 motif, member 13 antibody </t>
  </si>
  <si>
    <t xml:space="preserve"> A disintegrin and metalloproteinase with a thrombospondin type 1 motif, member 13 activity assay </t>
  </si>
  <si>
    <t xml:space="preserve"> A disintegrin and metalloproteinase with a thrombospondin type 1 motif, member 13 inhibitor assay </t>
  </si>
  <si>
    <t xml:space="preserve"> Adenine phosphoribosyltransferase measurement </t>
  </si>
  <si>
    <t xml:space="preserve"> Adenosine deaminase measurement </t>
  </si>
  <si>
    <t>1036561000168107</t>
  </si>
  <si>
    <t xml:space="preserve"> CSF adenosine deaminase measurement </t>
  </si>
  <si>
    <t>1682711000168101</t>
  </si>
  <si>
    <t xml:space="preserve"> Measurement of adenosine deaminase in pleural fluid </t>
  </si>
  <si>
    <t xml:space="preserve"> Measurement of adenovirus antibody </t>
  </si>
  <si>
    <t xml:space="preserve"> Adenovirus antigen assay </t>
  </si>
  <si>
    <t xml:space="preserve"> Adenovirus nucleic acid detection </t>
  </si>
  <si>
    <t xml:space="preserve"> Adrenal cortex antibody measurement </t>
  </si>
  <si>
    <t xml:space="preserve"> Plasma adrenaline measurement </t>
  </si>
  <si>
    <t xml:space="preserve"> 24 hour urine free adrenaline output measurement </t>
  </si>
  <si>
    <t xml:space="preserve"> Alpha-1-fetoprotein measurement, serum </t>
  </si>
  <si>
    <t xml:space="preserve"> Alpha-1-Fetoprotein measurement, amniotic fluid </t>
  </si>
  <si>
    <t xml:space="preserve"> Alpha-fetoprotein test - antenatal  </t>
  </si>
  <si>
    <t xml:space="preserve">Copyright © 2013- 2017 RCPA. All rights reserved. 
This material contains information which is protected by copyright. You may download, display, print and reproduce any material for your personal, non-commercial use or use within your organisation subject to the following terms and conditions: 
1.     The material may not be copied, reproduced, communicated or displayed, in whole or in part, for profit or commercial gain. 
2.     Any copy, reproduction or communication must include this RCPA copyright notice in full. 
3.     No changes may be made to the wording of the Standards and Guidelines, terminology reference sets and information models including commentary, tables or diagrams. Excerpts from the Standards and Guidelines, terminology reference sets and information models may be used. References and acknowledgments must be maintained in any reproduction or copy in full or part of the material. 
Apart from any use as permitted under the Copyright Act 1968 or as set out above, all other rights are reserved. Requests and inquiries concerning reproduction and rights should be addressed to RCPA, 207 Albion St, Surry Hills, NSW 2010, Australia. </t>
  </si>
  <si>
    <t xml:space="preserve">Copyright © 2017- 2020 RCPA. All rights reserved. 
This material contains information which is protected by copyright. You may download, display, print and reproduce any material for your personal, non-commercial use or use within your organisation subject to the following terms and conditions: 
1.     The material may not be copied, reproduced, communicated or displayed, in whole or in part, for profit or commercial gain. 
2.     Any copy, reproduction or communication must include this RCPA copyright notice in full. 
3.     No changes may be made to the wording of the Standards and Guidelines, terminology reference sets and information models including commentary, tables or diagrams. Excerpts from the Standards and Guidelines, terminology reference sets and information models may be used. References and acknowledgments must be maintained in any reproduction or copy in full or part of the material. 
Apart from any use as permitted under the Copyright Act 1968 or as set out above, all other rights are reserved. Requests and inquiries concerning reproduction and rights should be addressed to RCPA, 207 Albion St, Surry Hills, NSW 2010, Australia. </t>
  </si>
  <si>
    <t xml:space="preserve">Copyright © 2021 RCPA. All rights reserved. 
This material contains information which is protected by copyright. You may download, display, print and reproduce any material for your personal, non-commercial use or use within your organisation subject to the following terms and conditions: 
1.     The material may not be copied, reproduced, communicated or displayed, in whole or in part, for profit or commercial gain. 
2.     Any copy, reproduction or communication must include this RCPA copyright notice in full. 
3.     No changes may be made to the wording of the Standards and Guidelines, terminology reference sets and information models including commentary, tables or diagrams. Excerpts from the Standards and Guidelines, terminology reference sets and information models may be used. References and acknowledgments must be maintained in any reproduction or copy in full or part of the material. 
Apart from any use as permitted under the Copyright Act 1968 or as set out above, all other rights are reserved. Requests and inquiries concerning reproduction and rights should be addressed to RCPA, 207 Albion St, Surry Hills, NSW 2010, Australia. </t>
  </si>
  <si>
    <t xml:space="preserve">Copyright © 2022 -2025 RCPA. All rights reserved. 
This material contains information which is protected by copyright. You may download, display, print and reproduce any material for your personal, non-commercial use or use within your organisation subject to the following terms and conditions: 
1.     The material may not be copied, reproduced, communicated or displayed, in whole or in part, for profit or commercial gain. 
2.     Any copy, reproduction or communication must include this RCPA copyright notice in full. 
3.     No changes may be made to the wording of the Standards and Guidelines, terminology reference sets and information models including commentary, tables or diagrams. Excerpts from the Standards and Guidelines, terminology reference sets and information models may be used. References and acknowledgments must be maintained in any reproduction or copy in full or part of the material. 
Apart from any use as permitted under the Copyright Act 1968 or as set out above, all other rights are reserved. Requests and inquiries concerning reproduction and rights should be addressed to RCPA, 207 Albion St, Surry Hills, NSW 2010, Australia. </t>
  </si>
  <si>
    <t>This material includes SNOMED Clinical Terms® (SNOMED CT®) which is used by permission of the International Health Terminology Standards Development Organisation (IHTSDO®). All rights reserved. SNOMED CT was originally created by The College of American Pathologists. IHTSDO®, SNOMED® and SNOMED CT® are registered trademarks of the IHTSDO.</t>
  </si>
  <si>
    <t>Acid fast bacilli NAA;Acid fast bacilli NAT;Acid fast bacilli PCR;Mycobacterium PCR;TB PCR;MAC PCR;Mycobacterium avium complex PCR</t>
  </si>
  <si>
    <t xml:space="preserve">Jul 2024 - Specimen changed from Serum &amp; Synonyms added
3.0 - Added by PITUS-16 </t>
  </si>
  <si>
    <t>Adenovirus NAA;Adenovirus NAT;Adenovirus PCR</t>
  </si>
  <si>
    <t xml:space="preserve">Changes in this version include:
- RCPA Displine updated for all nucleic acid terms from Serology to Microbiology
- Updates to various Preferred terms for culture based on specimen type to MCS
- Separation of SNOMED CT code from SCT Fully Specified Name
- Standardised specimen types
- Synonyms added
- Removal of duplicates </t>
  </si>
  <si>
    <t>Feb 2025 - Added by PI Pilot 22-24</t>
  </si>
  <si>
    <t>3-Methoxytyramine/creatinine urine</t>
  </si>
  <si>
    <t xml:space="preserve">Feb 2025 - Preferred term updated from '3-Methoxytyramine urine' to align with SPIA Guidelines
3.0 - Added by PITUS-16 </t>
  </si>
  <si>
    <t>ADA RBC, ADA red cells</t>
  </si>
  <si>
    <t>Adenosine deaminase RBC</t>
  </si>
  <si>
    <t>Red cells</t>
  </si>
  <si>
    <t>Molecular</t>
  </si>
  <si>
    <t>Changes in this version include:
- Addition of new SNOMED-CT terms approved by PI Pilot
- Changed Preferred term for FMH &amp; added Foetal to synonym
- Addition of Synonyms
- Rounding errors for some SCT codes fixed
- Removed work 'Ratio' from Preferred terms to align with SPIA Guidelines</t>
  </si>
  <si>
    <t>7-Dehydrocholesterol 8-Dehydrocholesterol</t>
  </si>
  <si>
    <t xml:space="preserve">7DHC 8DHC </t>
  </si>
  <si>
    <t>933434771000036107</t>
  </si>
  <si>
    <t>Amniotic fluid 7-dehydrocholesterol and 8-dehydrocholesterol measurement</t>
  </si>
  <si>
    <r>
      <t xml:space="preserve">Adrenaline </t>
    </r>
    <r>
      <rPr>
        <sz val="11"/>
        <color theme="1"/>
        <rFont val="Calibri"/>
        <family val="2"/>
        <scheme val="minor"/>
      </rPr>
      <t>urine 24h</t>
    </r>
  </si>
  <si>
    <t>7DHC;Cholestenal;Cholestanol</t>
  </si>
  <si>
    <t>Apr 2025 - Synonym added
Jul 2024 - Added by PI Pilot 22-24</t>
  </si>
  <si>
    <t>Changes in this version include:
- Addition of new SNOMED-CT terms developed by CSIRO
- Changes to ECG procedure Preferred Term
- Fixed error with Drugs of abuse qualitative screen SCT code
- Addition of new Synonyms
- Removed SNOMED-CT code for Discipline and Subgroup</t>
  </si>
  <si>
    <t>Changes in this version include:
- Addition of new SNOMED-CT terms developed by CSIRO
- Addition of new Genetic pathology requesting terms</t>
  </si>
  <si>
    <t>933398481000036107</t>
  </si>
  <si>
    <t>Measurement of adenosine deaminase in erythrocyte specimen</t>
  </si>
  <si>
    <t>Jun 2025 - Incorrect SCT Code fixed
Feb 2025 - Added by PI Pilot 22-24</t>
  </si>
  <si>
    <t xml:space="preserve">Changes in this version include:
- Addition of new SNOMED-CT terms developed by CSIRO
- Removed duplicates
- Updates from CSIRO:
    - 104310006 | Influenzavirus Ab term retired by SCT International - removed
   -  12712006 | Urine antimony measurement retired by SCT International - removed
</t>
  </si>
  <si>
    <t>Oct 2025 - Added by PI Pilot 22-24</t>
  </si>
  <si>
    <t xml:space="preserve">Acanthamoeba sp nucleic acid </t>
  </si>
  <si>
    <t>933451161000036104</t>
  </si>
  <si>
    <t>Acanthamoeba sp NAA;Acanthamoeba sp NAT;Acanthamoeba sp DNA</t>
  </si>
  <si>
    <t>Acanthamoeba species nucleic acid assay</t>
  </si>
  <si>
    <t>Changes in this version include:
- Addition of new SNOMED-CT terms developed by CSIRO
- Fixed reported errors
- Removed SNOMED-CT inactive term Factor B complement assay (63244002)
- Removed SNOMED-CT duplicate listing for Tr (DNER) Ab (950151000168109)
- Removed SNOMED-CT duplicate listing for Human parainfluenza virus nucleic acid (1648271000168107)
- Removed SNOMED-CT listing for Cardiac Markers (391485008) as non-conformant to SCT editorial policy
- Replaced SNOMED-CT listing for Cortisol saliva (443984008) as non-conformant to SCT editorial policy
- Added Synonyms to reflect SPIA reporting terms</t>
  </si>
  <si>
    <t>Dec 2025 - Added by PI Pilot 22-24</t>
  </si>
  <si>
    <t>Changes in this version include:
- Addition of new SNOMED-CT terms developed by CSIRO
- Removed Tacrolimus level serum (313563000 | Serum tacrolimus measurement) as this test only performed on whole blood samples</t>
  </si>
  <si>
    <t>Acetone urine</t>
  </si>
  <si>
    <t>Urine ketones</t>
  </si>
  <si>
    <t>Urinalysis, acetone or ketone bodies measurement</t>
  </si>
  <si>
    <t>Adrenocorticotropic hormone;Corticotropin</t>
  </si>
  <si>
    <t xml:space="preserve">Changes in this version include:
- Addition of new SNOMED-CT terms developed by CSIRO
- Changes to selected Preferred Terms and addition of Synonyms to align SPIA Requesting and Reporting
- Change of selected Specimen types to align SPIA Requesting and Reporting
</t>
  </si>
  <si>
    <t xml:space="preserve">Feb 2026 - Addition of Synonym &amp; specimen type Plasma
2.0 - Added by PITUS-14 </t>
  </si>
  <si>
    <t>Urine;CSF;Tissue;Sputum;Skin;Swabs;Fluids</t>
  </si>
  <si>
    <t xml:space="preserve">Changes in this version include:
- Fixed random SCT code errors (Excel truncation/extra digits)
- Preferred term updated for selected specific IgE nut mixes inactivated Jan 2026:
- Mixed nut (fx1) radioallergosorbent test (416801001) replaced by Peanut+hazlenut+Brazil nut+almond+coconut specific immunoglobuline E antibody measurement (12299141009)
- Mixed nut (fx22) radioallergosorben test (417483000) replaced by Pecan nut+cashet nut+pistachio+walnut specific immunoglobulin E antiboy measurement (1299142002)
</t>
  </si>
  <si>
    <t>Changes in this version include:
- Fixed error in Histamine 24 hr urine specimen type
- Updated all nucleic acid and viral load requests from discipline 'Microbiology' to 'Molecular'
- Updates from CSIRO (noncomforance to editorial policy:
- Serum Iron tests (269820002) removed; SCT replacement Serum iron measurement (250216004) already in SPIA</t>
  </si>
  <si>
    <t xml:space="preserve">Oct 2025 - removed Synonym Acanthamoeba sp PCR
Jul 2024 - Preferred term changed from Acanthamoeba nucleic acid; Specimen changed from serum
3.0 - Added by PITUS-16 </t>
  </si>
  <si>
    <t>Changes in this version include:
- Addition of Synonyms for Warfarin level to align with Haematology Reporting Ref Set
- Addition of Synonyms for Platelet Ab detection
- Preferred terms containing 'antibodies' updated to 'Ab' as per SPIA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</si>
</sst>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dd\-mmm\-yy;@"/>
    <numFmt numFmtId="165" formatCode="0.0"/>
  </numFmts>
  <fonts count="12" x14ac:knownFonts="1">
    <font>
      <sz val="11"/>
      <color theme="1"/>
      <name val="Calibri"/>
      <family val="2"/>
      <scheme val="minor"/>
    </font>
    <font>
      <sz val="10"/>
      <color indexed="8"/>
      <name val="Arial"/>
      <family val="2"/>
    </font>
    <font>
      <sz val="11"/>
      <name val="Calibri"/>
      <family val="2"/>
      <scheme val="minor"/>
    </font>
    <font>
      <b/>
      <sz val="14"/>
      <color theme="3"/>
      <name val="Calibri"/>
      <family val="2"/>
      <scheme val="minor"/>
    </font>
    <font>
      <b/>
      <sz val="11"/>
      <name val="Calibri"/>
      <family val="2"/>
      <scheme val="minor"/>
    </font>
    <font>
      <i/>
      <sz val="11"/>
      <name val="Calibri"/>
      <family val="2"/>
      <scheme val="minor"/>
    </font>
    <font>
      <b/>
      <sz val="11"/>
      <color theme="0"/>
      <name val="Calibri"/>
      <family val="2"/>
      <scheme val="minor"/>
    </font>
    <font>
      <sz val="9"/>
      <color theme="3"/>
      <name val="Calibri"/>
      <family val="2"/>
      <scheme val="minor"/>
    </font>
    <font>
      <b/>
      <sz val="26"/>
      <color theme="1"/>
      <name val="Calibri"/>
      <family val="2"/>
      <scheme val="minor"/>
    </font>
    <font>
      <sz val="11"/>
      <color rgb="FF000000"/>
      <name val="Calibri"/>
      <family val="2"/>
      <scheme val="minor"/>
    </font>
    <font>
      <sz val="4"/>
      <color rgb="FF003864"/>
      <name val="Arial"/>
      <family val="2"/>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26"/>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lignment vertical="top"/>
    </xf>
  </cellStyleXfs>
  <cellXfs count="55">
    <xf numFmtId="0" fontId="0" fillId="0" borderId="0" xfId="0"/>
    <xf numFmtId="0" fontId="0" fillId="0" borderId="0" xfId="0" applyAlignment="1">
      <alignment vertical="center"/>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2" fillId="2" borderId="3" xfId="0" applyFont="1" applyFill="1" applyBorder="1" applyAlignment="1">
      <alignment horizontal="left" vertical="center" wrapText="1"/>
    </xf>
    <xf numFmtId="0" fontId="2" fillId="2" borderId="1" xfId="0" applyFont="1" applyFill="1" applyBorder="1" applyAlignment="1">
      <alignment horizontal="left" vertical="center" wrapText="1"/>
    </xf>
    <xf numFmtId="164" fontId="2" fillId="2" borderId="1" xfId="0" applyNumberFormat="1" applyFont="1" applyFill="1" applyBorder="1" applyAlignment="1">
      <alignment horizontal="center" vertical="center" wrapText="1"/>
    </xf>
    <xf numFmtId="0" fontId="2" fillId="2" borderId="4" xfId="0" applyFont="1" applyFill="1" applyBorder="1" applyAlignment="1">
      <alignment horizontal="left" vertical="center" wrapText="1"/>
    </xf>
    <xf numFmtId="0" fontId="0" fillId="2" borderId="3" xfId="0" applyFill="1" applyBorder="1" applyAlignment="1">
      <alignment vertical="top" wrapText="1"/>
    </xf>
    <xf numFmtId="165" fontId="2" fillId="2" borderId="1" xfId="0" applyNumberFormat="1" applyFont="1" applyFill="1" applyBorder="1" applyAlignment="1">
      <alignment horizontal="center" vertical="center" wrapText="1"/>
    </xf>
    <xf numFmtId="0" fontId="0" fillId="0" borderId="1" xfId="0" applyBorder="1" applyAlignment="1">
      <alignment vertical="top" wrapText="1"/>
    </xf>
    <xf numFmtId="165" fontId="2" fillId="0" borderId="1" xfId="0" applyNumberFormat="1" applyFont="1" applyBorder="1" applyAlignment="1">
      <alignment horizontal="center" vertical="center" wrapText="1"/>
    </xf>
    <xf numFmtId="0" fontId="0" fillId="0" borderId="0" xfId="0" applyAlignment="1">
      <alignment horizont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wrapText="1"/>
    </xf>
    <xf numFmtId="0" fontId="0" fillId="0" borderId="3" xfId="0" applyBorder="1" applyAlignment="1">
      <alignment horizontal="center" vertical="center"/>
    </xf>
    <xf numFmtId="165" fontId="0" fillId="0" borderId="1" xfId="0" applyNumberFormat="1" applyBorder="1" applyAlignment="1">
      <alignment horizontal="center" vertical="center"/>
    </xf>
    <xf numFmtId="0" fontId="6" fillId="3" borderId="0" xfId="0" applyFont="1" applyFill="1" applyAlignment="1">
      <alignment horizontal="center" vertical="top"/>
    </xf>
    <xf numFmtId="0" fontId="6" fillId="3" borderId="0" xfId="0" applyFont="1" applyFill="1" applyAlignment="1">
      <alignment horizontal="left" vertical="top" wrapText="1"/>
    </xf>
    <xf numFmtId="0" fontId="10" fillId="0" borderId="0" xfId="0" applyFont="1"/>
    <xf numFmtId="164" fontId="2" fillId="0" borderId="1" xfId="0"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0" fontId="9" fillId="0" borderId="0" xfId="0" applyFont="1" applyAlignment="1">
      <alignment wrapText="1"/>
    </xf>
    <xf numFmtId="0" fontId="6" fillId="3" borderId="0" xfId="0" applyFont="1" applyFill="1" applyAlignment="1">
      <alignment wrapText="1"/>
    </xf>
    <xf numFmtId="0" fontId="6" fillId="3" borderId="0" xfId="0" applyFont="1" applyFill="1"/>
    <xf numFmtId="1" fontId="6" fillId="3" borderId="0" xfId="0" applyNumberFormat="1" applyFont="1" applyFill="1" applyAlignment="1">
      <alignment horizontal="center" vertical="top" wrapText="1"/>
    </xf>
    <xf numFmtId="1" fontId="9" fillId="0" borderId="0" xfId="0" applyNumberFormat="1" applyFont="1" applyAlignment="1">
      <alignment horizontal="center" wrapText="1"/>
    </xf>
    <xf numFmtId="0" fontId="6" fillId="3" borderId="0" xfId="0" applyFont="1" applyFill="1" applyAlignment="1">
      <alignment horizontal="center"/>
    </xf>
    <xf numFmtId="0" fontId="7" fillId="0" borderId="0" xfId="0" applyFont="1" applyAlignment="1">
      <alignment horizontal="left" wrapText="1"/>
    </xf>
    <xf numFmtId="0" fontId="9" fillId="0" borderId="0" xfId="0" applyFont="1" applyAlignment="1">
      <alignment horizontal="center" wrapText="1"/>
    </xf>
    <xf numFmtId="0" fontId="6" fillId="4" borderId="0" xfId="0" applyFont="1" applyFill="1" applyAlignment="1">
      <alignment horizontal="center" wrapText="1"/>
    </xf>
    <xf numFmtId="0" fontId="0" fillId="0" borderId="0" xfId="0" applyAlignment="1">
      <alignment horizontal="left" vertical="top" indent="1"/>
    </xf>
    <xf numFmtId="0" fontId="0" fillId="0" borderId="0" xfId="0" applyAlignment="1">
      <alignment horizontal="left" indent="1"/>
    </xf>
    <xf numFmtId="0" fontId="0" fillId="0" borderId="0" xfId="0" applyAlignment="1">
      <alignment wrapText="1"/>
    </xf>
    <xf numFmtId="17" fontId="0" fillId="0" borderId="0" xfId="0" applyNumberFormat="1" applyAlignment="1">
      <alignment horizontal="center"/>
    </xf>
    <xf numFmtId="0" fontId="0" fillId="0" borderId="0" xfId="0" applyAlignment="1">
      <alignment horizontal="left"/>
    </xf>
    <xf numFmtId="0" fontId="0" fillId="0" borderId="0" xfId="0" applyAlignment="1">
      <alignment horizontal="center" wrapText="1"/>
    </xf>
    <xf numFmtId="1" fontId="0" fillId="0" borderId="0" xfId="0" applyNumberFormat="1" applyAlignment="1">
      <alignment horizontal="center" wrapText="1"/>
    </xf>
    <xf numFmtId="165" fontId="0" fillId="0" borderId="0" xfId="0" applyNumberFormat="1" applyAlignment="1">
      <alignment horizontal="center"/>
    </xf>
    <xf numFmtId="0" fontId="0" fillId="0" borderId="0" xfId="0" applyAlignment="1">
      <alignment horizontal="left" wrapText="1"/>
    </xf>
    <xf numFmtId="1" fontId="0" fillId="0" borderId="0" xfId="0" quotePrefix="1" applyNumberFormat="1" applyAlignment="1">
      <alignment horizontal="center" wrapText="1"/>
    </xf>
    <xf numFmtId="1" fontId="9" fillId="0" borderId="0" xfId="0" quotePrefix="1" applyNumberFormat="1" applyFont="1" applyAlignment="1">
      <alignment horizontal="center" wrapText="1"/>
    </xf>
    <xf numFmtId="1" fontId="0" fillId="0" borderId="0" xfId="0" applyNumberFormat="1" applyAlignment="1">
      <alignment horizontal="center"/>
    </xf>
    <xf numFmtId="0" fontId="6" fillId="3" borderId="0" xfId="0" applyFont="1" applyFill="1" applyAlignment="1">
      <alignment horizontal="center" wrapText="1"/>
    </xf>
    <xf numFmtId="0" fontId="8" fillId="0" borderId="0" xfId="0" applyFont="1" applyAlignment="1">
      <alignment horizontal="left" vertical="top" wrapText="1"/>
    </xf>
    <xf numFmtId="0" fontId="8" fillId="0" borderId="0" xfId="0" applyFont="1" applyAlignment="1">
      <alignment horizontal="left" vertical="top"/>
    </xf>
    <xf numFmtId="165" fontId="2" fillId="2" borderId="3" xfId="0" applyNumberFormat="1" applyFont="1" applyFill="1" applyBorder="1" applyAlignment="1">
      <alignment horizontal="center" vertical="center" wrapText="1"/>
    </xf>
    <xf numFmtId="165" fontId="2" fillId="2" borderId="4"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xf>
    <xf numFmtId="0" fontId="0" fillId="0" borderId="5" xfId="0" applyBorder="1" applyAlignment="1">
      <alignment horizontal="center" vertical="center"/>
    </xf>
    <xf numFmtId="0" fontId="2" fillId="2" borderId="3" xfId="0" applyFont="1" applyFill="1" applyBorder="1" applyAlignment="1">
      <alignment horizontal="center" vertical="center" wrapText="1"/>
    </xf>
    <xf numFmtId="0" fontId="0" fillId="0" borderId="5" xfId="0" applyBorder="1" applyAlignment="1">
      <alignment horizontal="center" vertical="center" wrapText="1"/>
    </xf>
    <xf numFmtId="0" fontId="7" fillId="0" borderId="0" xfId="0" applyFont="1" applyAlignment="1">
      <alignment horizontal="left" wrapText="1"/>
    </xf>
  </cellXfs>
  <cellStyles count="2">
    <cellStyle name="Normal" xfId="0" builtinId="0"/>
    <cellStyle name="Normal 9"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3"/>
  <sheetViews>
    <sheetView topLeftCell="A31" workbookViewId="0">
      <selection activeCell="F32" sqref="F32"/>
    </sheetView>
  </sheetViews>
  <sheetFormatPr defaultColWidth="8.85546875" defaultRowHeight="15" x14ac:dyDescent="0.25"/>
  <cols>
    <col min="1" max="1" width="9.42578125" customWidth="1"/>
    <col min="2" max="2" width="89" customWidth="1"/>
    <col min="3" max="3" width="17.7109375" style="13" customWidth="1"/>
    <col min="4" max="4" width="16.42578125" customWidth="1"/>
  </cols>
  <sheetData>
    <row r="1" spans="1:4" ht="33.75" x14ac:dyDescent="0.25">
      <c r="A1" s="46" t="s">
        <v>0</v>
      </c>
      <c r="B1" s="47"/>
      <c r="C1" s="47"/>
      <c r="D1" s="47"/>
    </row>
    <row r="2" spans="1:4" ht="6.95" customHeight="1" x14ac:dyDescent="0.25">
      <c r="A2" s="21"/>
    </row>
    <row r="3" spans="1:4" ht="125.45" customHeight="1" x14ac:dyDescent="0.25">
      <c r="A3" s="54" t="s">
        <v>207</v>
      </c>
      <c r="B3" s="54"/>
      <c r="C3" s="54"/>
      <c r="D3" s="54"/>
    </row>
    <row r="4" spans="1:4" ht="129" customHeight="1" x14ac:dyDescent="0.25">
      <c r="A4" s="54" t="s">
        <v>206</v>
      </c>
      <c r="B4" s="54"/>
      <c r="C4" s="54"/>
      <c r="D4" s="54"/>
    </row>
    <row r="5" spans="1:4" ht="129.6" customHeight="1" x14ac:dyDescent="0.25">
      <c r="A5" s="54" t="s">
        <v>205</v>
      </c>
      <c r="B5" s="54"/>
      <c r="C5" s="54"/>
      <c r="D5" s="54"/>
    </row>
    <row r="6" spans="1:4" ht="120.6" customHeight="1" x14ac:dyDescent="0.25">
      <c r="A6" s="54" t="s">
        <v>204</v>
      </c>
      <c r="B6" s="54"/>
      <c r="C6" s="54"/>
      <c r="D6" s="54"/>
    </row>
    <row r="7" spans="1:4" ht="31.15" customHeight="1" x14ac:dyDescent="0.25">
      <c r="A7" s="54" t="s">
        <v>208</v>
      </c>
      <c r="B7" s="54"/>
      <c r="C7" s="54"/>
      <c r="D7" s="54"/>
    </row>
    <row r="8" spans="1:4" ht="13.15" customHeight="1" x14ac:dyDescent="0.25">
      <c r="A8" s="30"/>
      <c r="B8" s="30"/>
      <c r="C8" s="30"/>
      <c r="D8" s="30"/>
    </row>
    <row r="9" spans="1:4" ht="18.75" x14ac:dyDescent="0.3">
      <c r="A9" s="2" t="s">
        <v>1</v>
      </c>
      <c r="B9" s="1"/>
    </row>
    <row r="10" spans="1:4" x14ac:dyDescent="0.25">
      <c r="A10" s="3" t="s">
        <v>2</v>
      </c>
      <c r="B10" s="4" t="s">
        <v>3</v>
      </c>
      <c r="C10" s="4" t="s">
        <v>4</v>
      </c>
      <c r="D10" s="4" t="s">
        <v>5</v>
      </c>
    </row>
    <row r="11" spans="1:4" ht="44.65" customHeight="1" x14ac:dyDescent="0.25">
      <c r="A11" s="10">
        <v>1</v>
      </c>
      <c r="B11" s="5" t="s">
        <v>6</v>
      </c>
      <c r="C11" s="14" t="s">
        <v>7</v>
      </c>
      <c r="D11" s="7">
        <v>41317</v>
      </c>
    </row>
    <row r="12" spans="1:4" x14ac:dyDescent="0.25">
      <c r="A12" s="48">
        <v>2</v>
      </c>
      <c r="B12" s="5" t="s">
        <v>8</v>
      </c>
      <c r="C12" s="52" t="s">
        <v>9</v>
      </c>
      <c r="D12" s="50">
        <v>41796</v>
      </c>
    </row>
    <row r="13" spans="1:4" ht="60" x14ac:dyDescent="0.25">
      <c r="A13" s="49"/>
      <c r="B13" s="8" t="s">
        <v>10</v>
      </c>
      <c r="C13" s="53"/>
      <c r="D13" s="51"/>
    </row>
    <row r="14" spans="1:4" ht="75" x14ac:dyDescent="0.25">
      <c r="A14" s="17">
        <v>2.1</v>
      </c>
      <c r="B14" s="9" t="s">
        <v>11</v>
      </c>
      <c r="C14" s="14" t="s">
        <v>9</v>
      </c>
      <c r="D14" s="7">
        <v>41949</v>
      </c>
    </row>
    <row r="15" spans="1:4" ht="30" x14ac:dyDescent="0.25">
      <c r="A15" s="18">
        <v>3</v>
      </c>
      <c r="B15" s="11" t="s">
        <v>12</v>
      </c>
      <c r="C15" s="14" t="s">
        <v>9</v>
      </c>
      <c r="D15" s="7">
        <v>42379</v>
      </c>
    </row>
    <row r="16" spans="1:4" ht="75" x14ac:dyDescent="0.25">
      <c r="A16" s="10">
        <v>3.1</v>
      </c>
      <c r="B16" s="6" t="s">
        <v>13</v>
      </c>
      <c r="C16" s="14" t="s">
        <v>14</v>
      </c>
      <c r="D16" s="7">
        <v>43661</v>
      </c>
    </row>
    <row r="17" spans="1:4" ht="60" x14ac:dyDescent="0.25">
      <c r="A17" s="12">
        <v>3.2</v>
      </c>
      <c r="B17" s="16" t="s">
        <v>15</v>
      </c>
      <c r="C17" s="15" t="s">
        <v>14</v>
      </c>
      <c r="D17" s="7">
        <v>44077</v>
      </c>
    </row>
    <row r="18" spans="1:4" ht="120" x14ac:dyDescent="0.25">
      <c r="A18" s="12">
        <v>4</v>
      </c>
      <c r="B18" s="16" t="s">
        <v>16</v>
      </c>
      <c r="C18" s="15" t="s">
        <v>14</v>
      </c>
      <c r="D18" s="7">
        <v>44260</v>
      </c>
    </row>
    <row r="19" spans="1:4" ht="75" x14ac:dyDescent="0.25">
      <c r="A19" s="12">
        <v>4.0999999999999996</v>
      </c>
      <c r="B19" s="16" t="s">
        <v>17</v>
      </c>
      <c r="C19" s="15" t="s">
        <v>14</v>
      </c>
      <c r="D19" s="7">
        <v>44550</v>
      </c>
    </row>
    <row r="20" spans="1:4" ht="30" x14ac:dyDescent="0.25">
      <c r="A20" s="12">
        <v>4.2</v>
      </c>
      <c r="B20" s="16" t="s">
        <v>18</v>
      </c>
      <c r="C20" s="15" t="s">
        <v>14</v>
      </c>
      <c r="D20" s="7">
        <v>44593</v>
      </c>
    </row>
    <row r="21" spans="1:4" ht="60" x14ac:dyDescent="0.25">
      <c r="A21" s="23">
        <v>45474</v>
      </c>
      <c r="B21" s="16" t="s">
        <v>19</v>
      </c>
      <c r="C21" s="15" t="s">
        <v>14</v>
      </c>
      <c r="D21" s="22">
        <v>45517</v>
      </c>
    </row>
    <row r="22" spans="1:4" ht="60" x14ac:dyDescent="0.25">
      <c r="A22" s="23">
        <v>45536</v>
      </c>
      <c r="B22" s="16" t="s">
        <v>19</v>
      </c>
      <c r="C22" s="15" t="s">
        <v>14</v>
      </c>
      <c r="D22" s="22">
        <v>45592</v>
      </c>
    </row>
    <row r="23" spans="1:4" ht="105" x14ac:dyDescent="0.25">
      <c r="A23" s="23">
        <v>45627</v>
      </c>
      <c r="B23" s="16" t="s">
        <v>212</v>
      </c>
      <c r="C23" s="15" t="s">
        <v>14</v>
      </c>
      <c r="D23" s="22">
        <v>45649</v>
      </c>
    </row>
    <row r="24" spans="1:4" ht="90" x14ac:dyDescent="0.25">
      <c r="A24" s="23">
        <v>45689</v>
      </c>
      <c r="B24" s="16" t="s">
        <v>220</v>
      </c>
      <c r="C24" s="15" t="s">
        <v>14</v>
      </c>
      <c r="D24" s="22">
        <v>45690</v>
      </c>
    </row>
    <row r="25" spans="1:4" ht="90" x14ac:dyDescent="0.25">
      <c r="A25" s="23">
        <v>45748</v>
      </c>
      <c r="B25" s="16" t="s">
        <v>228</v>
      </c>
      <c r="C25" s="15" t="s">
        <v>14</v>
      </c>
      <c r="D25" s="22">
        <v>45757</v>
      </c>
    </row>
    <row r="26" spans="1:4" ht="45" x14ac:dyDescent="0.25">
      <c r="A26" s="23">
        <v>45778</v>
      </c>
      <c r="B26" s="16" t="s">
        <v>229</v>
      </c>
      <c r="C26" s="15" t="s">
        <v>14</v>
      </c>
      <c r="D26" s="22">
        <v>45796</v>
      </c>
    </row>
    <row r="27" spans="1:4" ht="105" x14ac:dyDescent="0.25">
      <c r="A27" s="23">
        <v>45809</v>
      </c>
      <c r="B27" s="16" t="s">
        <v>233</v>
      </c>
      <c r="C27" s="15" t="s">
        <v>14</v>
      </c>
      <c r="D27" s="22">
        <v>45828</v>
      </c>
    </row>
    <row r="28" spans="1:4" ht="180" x14ac:dyDescent="0.25">
      <c r="A28" s="23">
        <v>45931</v>
      </c>
      <c r="B28" s="16" t="s">
        <v>239</v>
      </c>
      <c r="C28" s="15" t="s">
        <v>14</v>
      </c>
      <c r="D28" s="22">
        <v>45940</v>
      </c>
    </row>
    <row r="29" spans="1:4" ht="60" x14ac:dyDescent="0.25">
      <c r="A29" s="23">
        <v>45992</v>
      </c>
      <c r="B29" s="16" t="s">
        <v>241</v>
      </c>
      <c r="C29" s="15" t="s">
        <v>14</v>
      </c>
      <c r="D29" s="22">
        <v>45992</v>
      </c>
    </row>
    <row r="30" spans="1:4" ht="90" x14ac:dyDescent="0.25">
      <c r="A30" s="23">
        <v>46054</v>
      </c>
      <c r="B30" s="16" t="s">
        <v>246</v>
      </c>
      <c r="C30" s="15" t="s">
        <v>14</v>
      </c>
      <c r="D30" s="22">
        <v>46064</v>
      </c>
    </row>
    <row r="31" spans="1:4" ht="120" x14ac:dyDescent="0.25">
      <c r="A31" s="23">
        <v>46082</v>
      </c>
      <c r="B31" s="16" t="s">
        <v>249</v>
      </c>
      <c r="C31" s="15" t="s">
        <v>14</v>
      </c>
      <c r="D31" s="22">
        <v>46082</v>
      </c>
    </row>
    <row r="32" spans="1:4" ht="88.5" customHeight="1" x14ac:dyDescent="0.25">
      <c r="A32" s="23">
        <v>46143</v>
      </c>
      <c r="B32" s="16" t="s">
        <v>250</v>
      </c>
      <c r="C32" s="15" t="s">
        <v>14</v>
      </c>
      <c r="D32" s="22">
        <v>46148</v>
      </c>
    </row>
    <row r="33" spans="1:4" ht="60" x14ac:dyDescent="0.25">
      <c r="A33" s="23">
        <v>46174</v>
      </c>
      <c r="B33" s="16" t="s">
        <v>252</v>
      </c>
      <c r="C33" s="15" t="s">
        <v>14</v>
      </c>
      <c r="D33" s="22">
        <v>46176</v>
      </c>
    </row>
  </sheetData>
  <mergeCells count="9">
    <mergeCell ref="A1:D1"/>
    <mergeCell ref="A12:A13"/>
    <mergeCell ref="D12:D13"/>
    <mergeCell ref="C12:C13"/>
    <mergeCell ref="A6:D6"/>
    <mergeCell ref="A5:D5"/>
    <mergeCell ref="A4:D4"/>
    <mergeCell ref="A3:D3"/>
    <mergeCell ref="A7:D7"/>
  </mergeCells>
  <pageMargins left="0.7" right="0.7" top="0.75" bottom="0.75" header="0.3" footer="0.3"/>
  <pageSetup paperSize="9" scale="67" orientation="portrait" r:id="rId1"/>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B43F6-F1D9-4B78-A986-94C4B92BCE9F}">
  <dimension ref="A1:AI51"/>
  <sheetViews>
    <sheetView tabSelected="1" zoomScale="110" zoomScaleNormal="110" workbookViewId="0">
      <pane ySplit="1" topLeftCell="A2" activePane="bottomLeft" state="frozen"/>
      <selection pane="bottomLeft" activeCell="B55" sqref="B55"/>
    </sheetView>
  </sheetViews>
  <sheetFormatPr defaultColWidth="13.42578125" defaultRowHeight="15" x14ac:dyDescent="0.25"/>
  <cols>
    <col min="1" max="1" width="26.28515625" style="35" customWidth="1"/>
    <col min="2" max="2" width="28.28515625" customWidth="1"/>
    <col min="3" max="3" width="14.140625" customWidth="1"/>
    <col min="4" max="4" width="8.28515625" style="13" customWidth="1"/>
    <col min="5" max="5" width="17.28515625" style="38" customWidth="1"/>
    <col min="6" max="6" width="20.28515625" style="13" customWidth="1"/>
    <col min="7" max="7" width="17.7109375" style="13" customWidth="1"/>
    <col min="8" max="8" width="23.140625" style="39" customWidth="1"/>
    <col min="9" max="9" width="21.5703125" style="44" customWidth="1"/>
    <col min="10" max="10" width="11.5703125" style="13" bestFit="1" customWidth="1"/>
    <col min="11" max="11" width="32.42578125" style="37" customWidth="1"/>
    <col min="12" max="16384" width="13.42578125" style="34"/>
  </cols>
  <sheetData>
    <row r="1" spans="1:35" ht="30" x14ac:dyDescent="0.25">
      <c r="A1" s="25" t="s">
        <v>20</v>
      </c>
      <c r="B1" s="25" t="s">
        <v>21</v>
      </c>
      <c r="C1" s="26" t="s">
        <v>22</v>
      </c>
      <c r="D1" s="29" t="s">
        <v>23</v>
      </c>
      <c r="E1" s="32" t="s">
        <v>24</v>
      </c>
      <c r="F1" s="32" t="s">
        <v>25</v>
      </c>
      <c r="G1" s="29" t="s">
        <v>26</v>
      </c>
      <c r="H1" s="27" t="s">
        <v>27</v>
      </c>
      <c r="I1" s="45" t="s">
        <v>149</v>
      </c>
      <c r="J1" s="19" t="s">
        <v>2</v>
      </c>
      <c r="K1" s="20" t="s">
        <v>28</v>
      </c>
      <c r="L1" s="33"/>
      <c r="M1" s="33"/>
      <c r="N1" s="33"/>
      <c r="O1" s="33"/>
      <c r="P1" s="33"/>
      <c r="Q1" s="33"/>
      <c r="R1" s="33"/>
      <c r="S1" s="33"/>
      <c r="T1" s="33"/>
      <c r="U1" s="33"/>
      <c r="V1" s="33"/>
      <c r="W1" s="33"/>
      <c r="X1" s="33"/>
      <c r="Y1" s="33"/>
      <c r="Z1" s="33"/>
      <c r="AA1" s="33"/>
      <c r="AB1" s="33"/>
      <c r="AC1" s="33"/>
      <c r="AD1" s="33"/>
      <c r="AE1" s="33"/>
      <c r="AF1" s="33"/>
      <c r="AG1" s="33"/>
      <c r="AH1" s="33"/>
      <c r="AI1" s="33"/>
    </row>
    <row r="2" spans="1:35" s="33" customFormat="1" ht="30" x14ac:dyDescent="0.25">
      <c r="A2" s="24" t="s">
        <v>29</v>
      </c>
      <c r="B2" s="24"/>
      <c r="C2"/>
      <c r="D2" s="13">
        <f t="shared" ref="D2:D51" si="0">LEN(A2)</f>
        <v>22</v>
      </c>
      <c r="E2" s="31" t="s">
        <v>30</v>
      </c>
      <c r="F2" s="13"/>
      <c r="G2" s="31" t="s">
        <v>31</v>
      </c>
      <c r="H2" s="28">
        <v>121348009</v>
      </c>
      <c r="I2" s="28" t="s">
        <v>150</v>
      </c>
      <c r="J2" s="36">
        <v>45474</v>
      </c>
      <c r="K2" s="37" t="s">
        <v>32</v>
      </c>
      <c r="L2" s="34"/>
      <c r="M2" s="34"/>
      <c r="N2" s="34"/>
      <c r="O2" s="34"/>
      <c r="P2" s="34"/>
      <c r="Q2" s="34"/>
      <c r="R2" s="34"/>
      <c r="S2" s="34"/>
      <c r="T2" s="34"/>
      <c r="U2" s="34"/>
      <c r="V2" s="34"/>
      <c r="W2" s="34"/>
      <c r="X2" s="34"/>
      <c r="Y2" s="34"/>
      <c r="Z2" s="34"/>
      <c r="AA2" s="34"/>
      <c r="AB2" s="34"/>
      <c r="AC2" s="34"/>
      <c r="AD2" s="34"/>
      <c r="AE2" s="34"/>
      <c r="AF2" s="34"/>
      <c r="AG2" s="34"/>
      <c r="AH2" s="34"/>
      <c r="AI2" s="34"/>
    </row>
    <row r="3" spans="1:35" customFormat="1" ht="45" x14ac:dyDescent="0.25">
      <c r="A3" s="35" t="s">
        <v>33</v>
      </c>
      <c r="B3" s="35" t="s">
        <v>34</v>
      </c>
      <c r="D3" s="13">
        <f t="shared" si="0"/>
        <v>20</v>
      </c>
      <c r="E3" s="38" t="s">
        <v>30</v>
      </c>
      <c r="F3" s="38"/>
      <c r="G3" s="38" t="s">
        <v>35</v>
      </c>
      <c r="H3" s="39">
        <v>873871000168106</v>
      </c>
      <c r="I3" s="39" t="s">
        <v>151</v>
      </c>
      <c r="J3" s="40">
        <v>4</v>
      </c>
      <c r="K3" s="41" t="s">
        <v>36</v>
      </c>
    </row>
    <row r="4" spans="1:35" customFormat="1" ht="45" x14ac:dyDescent="0.25">
      <c r="A4" s="24" t="s">
        <v>37</v>
      </c>
      <c r="B4" s="24"/>
      <c r="D4" s="13">
        <f t="shared" si="0"/>
        <v>23</v>
      </c>
      <c r="E4" s="31" t="s">
        <v>30</v>
      </c>
      <c r="F4" s="13"/>
      <c r="G4" s="31" t="s">
        <v>38</v>
      </c>
      <c r="H4" s="28">
        <v>104607005</v>
      </c>
      <c r="I4" s="28" t="s">
        <v>152</v>
      </c>
      <c r="J4" s="36">
        <v>45474</v>
      </c>
      <c r="K4" s="37" t="s">
        <v>32</v>
      </c>
      <c r="L4" s="34"/>
      <c r="M4" s="34"/>
      <c r="N4" s="34"/>
      <c r="O4" s="34"/>
      <c r="P4" s="34"/>
      <c r="Q4" s="34"/>
      <c r="R4" s="34"/>
      <c r="S4" s="34"/>
      <c r="T4" s="34"/>
      <c r="U4" s="34"/>
      <c r="V4" s="34"/>
      <c r="W4" s="34"/>
      <c r="X4" s="34"/>
      <c r="Y4" s="34"/>
      <c r="Z4" s="34"/>
      <c r="AA4" s="34"/>
      <c r="AB4" s="34"/>
      <c r="AC4" s="34"/>
      <c r="AD4" s="34"/>
      <c r="AE4" s="34"/>
      <c r="AF4" s="34"/>
      <c r="AG4" s="34"/>
      <c r="AH4" s="34"/>
      <c r="AI4" s="34"/>
    </row>
    <row r="5" spans="1:35" customFormat="1" ht="45" x14ac:dyDescent="0.25">
      <c r="A5" s="35" t="s">
        <v>39</v>
      </c>
      <c r="B5" s="35"/>
      <c r="D5" s="13">
        <f t="shared" si="0"/>
        <v>16</v>
      </c>
      <c r="E5" s="38" t="s">
        <v>30</v>
      </c>
      <c r="F5" s="38"/>
      <c r="G5" s="38" t="s">
        <v>35</v>
      </c>
      <c r="H5" s="39">
        <v>313778009</v>
      </c>
      <c r="I5" s="39" t="s">
        <v>153</v>
      </c>
      <c r="J5" s="40">
        <v>3</v>
      </c>
      <c r="K5" s="41" t="s">
        <v>40</v>
      </c>
    </row>
    <row r="6" spans="1:35" customFormat="1" ht="60" x14ac:dyDescent="0.25">
      <c r="A6" s="35" t="s">
        <v>41</v>
      </c>
      <c r="B6" s="35"/>
      <c r="D6" s="13">
        <f t="shared" si="0"/>
        <v>22</v>
      </c>
      <c r="E6" s="38" t="s">
        <v>30</v>
      </c>
      <c r="F6" s="38"/>
      <c r="G6" s="38" t="s">
        <v>31</v>
      </c>
      <c r="H6" s="39">
        <v>444132007</v>
      </c>
      <c r="I6" s="28" t="s">
        <v>154</v>
      </c>
      <c r="J6" s="40">
        <v>3</v>
      </c>
      <c r="K6" s="41" t="s">
        <v>40</v>
      </c>
    </row>
    <row r="7" spans="1:35" customFormat="1" ht="60" x14ac:dyDescent="0.25">
      <c r="A7" s="35" t="s">
        <v>42</v>
      </c>
      <c r="B7" s="35" t="s">
        <v>43</v>
      </c>
      <c r="D7" s="13">
        <f t="shared" si="0"/>
        <v>18</v>
      </c>
      <c r="E7" s="38" t="s">
        <v>30</v>
      </c>
      <c r="F7" s="38"/>
      <c r="G7" s="38" t="s">
        <v>44</v>
      </c>
      <c r="H7" s="39">
        <v>430551003</v>
      </c>
      <c r="I7" s="39" t="s">
        <v>155</v>
      </c>
      <c r="J7" s="40">
        <v>3</v>
      </c>
      <c r="K7" s="41" t="s">
        <v>40</v>
      </c>
    </row>
    <row r="8" spans="1:35" customFormat="1" ht="45" x14ac:dyDescent="0.25">
      <c r="A8" s="35" t="s">
        <v>45</v>
      </c>
      <c r="B8" s="35" t="s">
        <v>46</v>
      </c>
      <c r="D8" s="13">
        <f t="shared" si="0"/>
        <v>22</v>
      </c>
      <c r="E8" s="38" t="s">
        <v>30</v>
      </c>
      <c r="F8" s="38"/>
      <c r="G8" s="38" t="s">
        <v>35</v>
      </c>
      <c r="H8" s="39">
        <v>41668001</v>
      </c>
      <c r="I8" s="28" t="s">
        <v>156</v>
      </c>
      <c r="J8" s="40">
        <v>2.1</v>
      </c>
      <c r="K8" s="41" t="s">
        <v>47</v>
      </c>
    </row>
    <row r="9" spans="1:35" customFormat="1" ht="75" x14ac:dyDescent="0.25">
      <c r="A9" s="35" t="s">
        <v>48</v>
      </c>
      <c r="B9" s="35" t="s">
        <v>49</v>
      </c>
      <c r="D9" s="13">
        <f t="shared" si="0"/>
        <v>29</v>
      </c>
      <c r="E9" s="38" t="s">
        <v>30</v>
      </c>
      <c r="F9" s="38"/>
      <c r="G9" s="38" t="s">
        <v>50</v>
      </c>
      <c r="H9" s="39">
        <v>413044009</v>
      </c>
      <c r="I9" s="39" t="s">
        <v>157</v>
      </c>
      <c r="J9" s="40">
        <v>4</v>
      </c>
      <c r="K9" s="41" t="s">
        <v>51</v>
      </c>
    </row>
    <row r="10" spans="1:35" customFormat="1" ht="45" x14ac:dyDescent="0.25">
      <c r="A10" s="35" t="s">
        <v>52</v>
      </c>
      <c r="B10" s="35" t="s">
        <v>53</v>
      </c>
      <c r="D10" s="13">
        <f t="shared" si="0"/>
        <v>18</v>
      </c>
      <c r="E10" s="38" t="s">
        <v>54</v>
      </c>
      <c r="F10" s="38"/>
      <c r="G10" s="38" t="s">
        <v>35</v>
      </c>
      <c r="H10" s="39">
        <v>117889006</v>
      </c>
      <c r="I10" s="28" t="s">
        <v>158</v>
      </c>
      <c r="J10" s="36">
        <v>45474</v>
      </c>
      <c r="K10" s="41" t="s">
        <v>55</v>
      </c>
    </row>
    <row r="11" spans="1:35" customFormat="1" ht="45" x14ac:dyDescent="0.25">
      <c r="A11" s="35" t="s">
        <v>56</v>
      </c>
      <c r="B11" s="35"/>
      <c r="D11" s="13">
        <f t="shared" si="0"/>
        <v>27</v>
      </c>
      <c r="E11" s="38" t="s">
        <v>30</v>
      </c>
      <c r="F11" s="38"/>
      <c r="G11" s="38" t="s">
        <v>35</v>
      </c>
      <c r="H11" s="39">
        <v>121893007</v>
      </c>
      <c r="I11" s="39" t="s">
        <v>159</v>
      </c>
      <c r="J11" s="40">
        <v>3</v>
      </c>
      <c r="K11" s="41" t="s">
        <v>40</v>
      </c>
    </row>
    <row r="12" spans="1:35" customFormat="1" ht="45" x14ac:dyDescent="0.25">
      <c r="A12" s="35" t="s">
        <v>57</v>
      </c>
      <c r="B12" s="35" t="s">
        <v>58</v>
      </c>
      <c r="D12" s="13">
        <f t="shared" si="0"/>
        <v>17</v>
      </c>
      <c r="E12" s="38" t="s">
        <v>30</v>
      </c>
      <c r="F12" s="38"/>
      <c r="G12" s="38" t="s">
        <v>59</v>
      </c>
      <c r="H12" s="39">
        <v>801311000168102</v>
      </c>
      <c r="I12" s="28" t="s">
        <v>160</v>
      </c>
      <c r="J12" s="40">
        <v>3</v>
      </c>
      <c r="K12" s="41" t="s">
        <v>40</v>
      </c>
    </row>
    <row r="13" spans="1:35" customFormat="1" ht="60" x14ac:dyDescent="0.25">
      <c r="A13" s="35" t="s">
        <v>61</v>
      </c>
      <c r="B13" s="35" t="s">
        <v>62</v>
      </c>
      <c r="D13" s="13">
        <f t="shared" si="0"/>
        <v>27</v>
      </c>
      <c r="E13" s="38" t="s">
        <v>30</v>
      </c>
      <c r="F13" s="38"/>
      <c r="G13" s="38" t="s">
        <v>63</v>
      </c>
      <c r="H13" s="39">
        <v>394951002</v>
      </c>
      <c r="I13" s="28" t="s">
        <v>162</v>
      </c>
      <c r="J13" s="40">
        <v>3</v>
      </c>
      <c r="K13" s="41" t="s">
        <v>64</v>
      </c>
    </row>
    <row r="14" spans="1:35" customFormat="1" ht="60" x14ac:dyDescent="0.25">
      <c r="A14" s="35" t="s">
        <v>214</v>
      </c>
      <c r="B14" s="35" t="s">
        <v>60</v>
      </c>
      <c r="D14" s="13">
        <f t="shared" si="0"/>
        <v>34</v>
      </c>
      <c r="E14" s="38" t="s">
        <v>30</v>
      </c>
      <c r="F14" s="38"/>
      <c r="G14" s="38" t="s">
        <v>31</v>
      </c>
      <c r="H14" s="39">
        <v>394952009</v>
      </c>
      <c r="I14" s="39" t="s">
        <v>161</v>
      </c>
      <c r="J14" s="36">
        <v>45689</v>
      </c>
      <c r="K14" s="41" t="s">
        <v>215</v>
      </c>
    </row>
    <row r="15" spans="1:35" customFormat="1" ht="45" x14ac:dyDescent="0.25">
      <c r="A15" s="35" t="s">
        <v>65</v>
      </c>
      <c r="B15" s="35" t="s">
        <v>66</v>
      </c>
      <c r="D15" s="13">
        <f t="shared" si="0"/>
        <v>38</v>
      </c>
      <c r="E15" s="38" t="s">
        <v>30</v>
      </c>
      <c r="F15" s="38"/>
      <c r="G15" s="38" t="s">
        <v>63</v>
      </c>
      <c r="H15" s="39">
        <v>121302000</v>
      </c>
      <c r="I15" s="39" t="s">
        <v>163</v>
      </c>
      <c r="J15" s="40">
        <v>3</v>
      </c>
      <c r="K15" s="41" t="s">
        <v>40</v>
      </c>
    </row>
    <row r="16" spans="1:35" customFormat="1" ht="45" x14ac:dyDescent="0.25">
      <c r="A16" s="24" t="s">
        <v>67</v>
      </c>
      <c r="B16" s="24" t="s">
        <v>68</v>
      </c>
      <c r="D16" s="13">
        <f t="shared" si="0"/>
        <v>24</v>
      </c>
      <c r="E16" s="31" t="s">
        <v>30</v>
      </c>
      <c r="F16" s="13"/>
      <c r="G16" s="31" t="s">
        <v>31</v>
      </c>
      <c r="H16" s="28" t="s">
        <v>164</v>
      </c>
      <c r="I16" s="28" t="s">
        <v>165</v>
      </c>
      <c r="J16" s="36">
        <v>45474</v>
      </c>
      <c r="K16" s="37" t="s">
        <v>32</v>
      </c>
      <c r="L16" s="34"/>
      <c r="M16" s="34"/>
      <c r="N16" s="34"/>
      <c r="O16" s="34"/>
      <c r="P16" s="34"/>
      <c r="Q16" s="34"/>
      <c r="R16" s="34"/>
      <c r="S16" s="34"/>
      <c r="T16" s="34"/>
      <c r="U16" s="34"/>
      <c r="V16" s="34"/>
      <c r="W16" s="34"/>
      <c r="X16" s="34"/>
      <c r="Y16" s="34"/>
      <c r="Z16" s="34"/>
      <c r="AA16" s="34"/>
      <c r="AB16" s="34"/>
      <c r="AC16" s="34"/>
      <c r="AD16" s="34"/>
      <c r="AE16" s="34"/>
      <c r="AF16" s="34"/>
      <c r="AG16" s="34"/>
      <c r="AH16" s="34"/>
      <c r="AI16" s="34"/>
    </row>
    <row r="17" spans="1:35" customFormat="1" ht="60" x14ac:dyDescent="0.25">
      <c r="A17" s="35" t="s">
        <v>69</v>
      </c>
      <c r="B17" s="24" t="s">
        <v>70</v>
      </c>
      <c r="D17" s="13">
        <f t="shared" si="0"/>
        <v>12</v>
      </c>
      <c r="E17" s="38" t="s">
        <v>30</v>
      </c>
      <c r="F17" s="38"/>
      <c r="G17" s="38" t="s">
        <v>31</v>
      </c>
      <c r="H17" s="39" t="s">
        <v>166</v>
      </c>
      <c r="I17" s="39" t="s">
        <v>167</v>
      </c>
      <c r="J17" s="36">
        <v>45474</v>
      </c>
      <c r="K17" s="41" t="s">
        <v>71</v>
      </c>
    </row>
    <row r="18" spans="1:35" customFormat="1" ht="60" x14ac:dyDescent="0.25">
      <c r="A18" s="24" t="s">
        <v>72</v>
      </c>
      <c r="B18" s="24" t="s">
        <v>70</v>
      </c>
      <c r="D18" s="13">
        <f t="shared" si="0"/>
        <v>16</v>
      </c>
      <c r="E18" s="31" t="s">
        <v>30</v>
      </c>
      <c r="F18" s="13"/>
      <c r="G18" s="38" t="s">
        <v>63</v>
      </c>
      <c r="H18" s="28">
        <v>313824003</v>
      </c>
      <c r="I18" s="28" t="s">
        <v>168</v>
      </c>
      <c r="J18" s="36">
        <v>45474</v>
      </c>
      <c r="K18" s="37" t="s">
        <v>32</v>
      </c>
      <c r="L18" s="34"/>
      <c r="M18" s="34"/>
      <c r="N18" s="34"/>
      <c r="O18" s="34"/>
      <c r="P18" s="34"/>
      <c r="Q18" s="34"/>
      <c r="R18" s="34"/>
      <c r="S18" s="34"/>
      <c r="T18" s="34"/>
      <c r="U18" s="34"/>
      <c r="V18" s="34"/>
      <c r="W18" s="34"/>
      <c r="X18" s="34"/>
      <c r="Y18" s="34"/>
      <c r="Z18" s="34"/>
      <c r="AA18" s="34"/>
      <c r="AB18" s="34"/>
      <c r="AC18" s="34"/>
      <c r="AD18" s="34"/>
      <c r="AE18" s="34"/>
      <c r="AF18" s="34"/>
      <c r="AG18" s="34"/>
      <c r="AH18" s="34"/>
      <c r="AI18" s="34"/>
    </row>
    <row r="19" spans="1:35" customFormat="1" ht="30" x14ac:dyDescent="0.25">
      <c r="A19" s="35" t="s">
        <v>73</v>
      </c>
      <c r="B19" s="35"/>
      <c r="D19" s="13">
        <f t="shared" si="0"/>
        <v>14</v>
      </c>
      <c r="E19" s="38" t="s">
        <v>30</v>
      </c>
      <c r="F19" s="38"/>
      <c r="G19" s="38" t="s">
        <v>35</v>
      </c>
      <c r="H19" s="39">
        <v>2507007</v>
      </c>
      <c r="I19" s="39" t="s">
        <v>169</v>
      </c>
      <c r="J19" s="40">
        <v>3</v>
      </c>
      <c r="K19" s="41" t="s">
        <v>40</v>
      </c>
    </row>
    <row r="20" spans="1:35" customFormat="1" ht="75" x14ac:dyDescent="0.25">
      <c r="A20" s="24" t="s">
        <v>221</v>
      </c>
      <c r="B20" s="24" t="s">
        <v>222</v>
      </c>
      <c r="D20" s="13">
        <f t="shared" si="0"/>
        <v>41</v>
      </c>
      <c r="E20" s="31" t="s">
        <v>30</v>
      </c>
      <c r="F20" s="13"/>
      <c r="G20" s="31" t="s">
        <v>145</v>
      </c>
      <c r="H20" s="28" t="s">
        <v>223</v>
      </c>
      <c r="I20" s="28" t="s">
        <v>224</v>
      </c>
      <c r="J20" s="36">
        <v>45689</v>
      </c>
      <c r="K20" s="37" t="s">
        <v>213</v>
      </c>
      <c r="L20" s="34"/>
      <c r="M20" s="34"/>
      <c r="N20" s="34"/>
      <c r="O20" s="34"/>
      <c r="P20" s="34"/>
      <c r="Q20" s="34"/>
      <c r="R20" s="34"/>
      <c r="S20" s="34"/>
      <c r="T20" s="34"/>
      <c r="U20" s="34"/>
      <c r="V20" s="34"/>
      <c r="W20" s="34"/>
      <c r="X20" s="34"/>
      <c r="Y20" s="34"/>
      <c r="Z20" s="34"/>
      <c r="AA20" s="34"/>
      <c r="AB20" s="34"/>
      <c r="AC20" s="34"/>
      <c r="AD20" s="34"/>
      <c r="AE20" s="34"/>
      <c r="AF20" s="34"/>
      <c r="AG20" s="34"/>
      <c r="AH20" s="34"/>
      <c r="AI20" s="34"/>
    </row>
    <row r="21" spans="1:35" customFormat="1" ht="30" x14ac:dyDescent="0.25">
      <c r="A21" s="24" t="s">
        <v>74</v>
      </c>
      <c r="B21" s="24" t="s">
        <v>226</v>
      </c>
      <c r="D21" s="13">
        <f t="shared" si="0"/>
        <v>21</v>
      </c>
      <c r="E21" s="31" t="s">
        <v>30</v>
      </c>
      <c r="F21" s="13"/>
      <c r="G21" s="31" t="s">
        <v>59</v>
      </c>
      <c r="H21" s="28" t="s">
        <v>170</v>
      </c>
      <c r="I21" s="28" t="s">
        <v>171</v>
      </c>
      <c r="J21" s="36">
        <v>45748</v>
      </c>
      <c r="K21" s="41" t="s">
        <v>227</v>
      </c>
      <c r="L21" s="34"/>
      <c r="M21" s="34"/>
      <c r="N21" s="34"/>
      <c r="O21" s="34"/>
      <c r="P21" s="34"/>
      <c r="Q21" s="34"/>
      <c r="R21" s="34"/>
      <c r="S21" s="34"/>
      <c r="T21" s="34"/>
      <c r="U21" s="34"/>
      <c r="V21" s="34"/>
      <c r="W21" s="34"/>
      <c r="X21" s="34"/>
      <c r="Y21" s="34"/>
      <c r="Z21" s="34"/>
      <c r="AA21" s="34"/>
      <c r="AB21" s="34"/>
      <c r="AC21" s="34"/>
      <c r="AD21" s="34"/>
      <c r="AE21" s="34"/>
      <c r="AF21" s="34"/>
      <c r="AG21" s="34"/>
      <c r="AH21" s="34"/>
      <c r="AI21" s="34"/>
    </row>
    <row r="22" spans="1:35" customFormat="1" ht="45" x14ac:dyDescent="0.25">
      <c r="A22" s="35" t="s">
        <v>75</v>
      </c>
      <c r="B22" s="35" t="s">
        <v>76</v>
      </c>
      <c r="D22" s="13">
        <f t="shared" si="0"/>
        <v>23</v>
      </c>
      <c r="E22" s="38" t="s">
        <v>77</v>
      </c>
      <c r="F22" s="38" t="s">
        <v>78</v>
      </c>
      <c r="G22" s="38" t="s">
        <v>79</v>
      </c>
      <c r="H22" s="39">
        <v>122192001</v>
      </c>
      <c r="I22" s="39" t="s">
        <v>172</v>
      </c>
      <c r="J22" s="36">
        <v>45474</v>
      </c>
      <c r="K22" s="41" t="s">
        <v>80</v>
      </c>
      <c r="L22" s="13"/>
      <c r="M22" s="13"/>
      <c r="N22" s="13"/>
      <c r="O22" s="13"/>
      <c r="P22" s="13"/>
      <c r="Q22" s="13"/>
      <c r="R22" s="13"/>
      <c r="S22" s="13"/>
      <c r="T22" s="13"/>
      <c r="U22" s="13"/>
      <c r="V22" s="13"/>
      <c r="W22" s="13"/>
      <c r="X22" s="13"/>
      <c r="Y22" s="13"/>
      <c r="Z22" s="13"/>
      <c r="AA22" s="13"/>
      <c r="AB22" s="13"/>
      <c r="AC22" s="13"/>
      <c r="AD22" s="13"/>
      <c r="AE22" s="13"/>
      <c r="AF22" s="13"/>
      <c r="AG22" s="13"/>
      <c r="AH22" s="13"/>
      <c r="AI22" s="13"/>
    </row>
    <row r="23" spans="1:35" customFormat="1" ht="90" x14ac:dyDescent="0.25">
      <c r="A23" s="35" t="s">
        <v>81</v>
      </c>
      <c r="B23" s="35" t="s">
        <v>76</v>
      </c>
      <c r="D23" s="13">
        <f t="shared" si="0"/>
        <v>30</v>
      </c>
      <c r="E23" s="38" t="s">
        <v>77</v>
      </c>
      <c r="F23" s="38"/>
      <c r="G23" s="38" t="s">
        <v>79</v>
      </c>
      <c r="H23" s="39">
        <v>122408004</v>
      </c>
      <c r="I23" s="28" t="s">
        <v>173</v>
      </c>
      <c r="J23" s="36">
        <v>45931</v>
      </c>
      <c r="K23" s="41" t="s">
        <v>251</v>
      </c>
      <c r="L23" s="13"/>
      <c r="M23" s="13"/>
      <c r="N23" s="13"/>
      <c r="O23" s="13"/>
      <c r="P23" s="13"/>
      <c r="Q23" s="13"/>
      <c r="R23" s="13"/>
      <c r="S23" s="13"/>
      <c r="T23" s="13"/>
      <c r="U23" s="13"/>
      <c r="V23" s="13"/>
      <c r="W23" s="13"/>
      <c r="X23" s="13"/>
      <c r="Y23" s="13"/>
      <c r="Z23" s="13"/>
      <c r="AA23" s="13"/>
      <c r="AB23" s="13"/>
      <c r="AC23" s="13"/>
      <c r="AD23" s="13"/>
      <c r="AE23" s="13"/>
      <c r="AF23" s="13"/>
      <c r="AG23" s="13"/>
      <c r="AH23" s="13"/>
      <c r="AI23" s="13"/>
    </row>
    <row r="24" spans="1:35" customFormat="1" ht="45" x14ac:dyDescent="0.25">
      <c r="A24" t="s">
        <v>235</v>
      </c>
      <c r="B24" s="35" t="s">
        <v>237</v>
      </c>
      <c r="D24" s="13">
        <f t="shared" si="0"/>
        <v>29</v>
      </c>
      <c r="E24" s="38" t="s">
        <v>219</v>
      </c>
      <c r="F24" s="38"/>
      <c r="G24" s="38" t="s">
        <v>79</v>
      </c>
      <c r="H24" s="28" t="s">
        <v>236</v>
      </c>
      <c r="I24" s="28" t="s">
        <v>238</v>
      </c>
      <c r="J24" s="36">
        <v>45931</v>
      </c>
      <c r="K24" s="37" t="s">
        <v>234</v>
      </c>
      <c r="L24" s="13"/>
      <c r="M24" s="13"/>
      <c r="N24" s="13"/>
      <c r="O24" s="13"/>
      <c r="P24" s="13"/>
      <c r="Q24" s="13"/>
      <c r="R24" s="13"/>
      <c r="S24" s="13"/>
      <c r="T24" s="13"/>
      <c r="U24" s="13"/>
      <c r="V24" s="13"/>
      <c r="W24" s="13"/>
      <c r="X24" s="13"/>
      <c r="Y24" s="13"/>
      <c r="Z24" s="13"/>
      <c r="AA24" s="13"/>
      <c r="AB24" s="13"/>
      <c r="AC24" s="13"/>
      <c r="AD24" s="13"/>
      <c r="AE24" s="13"/>
      <c r="AF24" s="13"/>
      <c r="AG24" s="13"/>
      <c r="AH24" s="13"/>
      <c r="AI24" s="13"/>
    </row>
    <row r="25" spans="1:35" customFormat="1" ht="45" x14ac:dyDescent="0.25">
      <c r="A25" t="s">
        <v>242</v>
      </c>
      <c r="B25" s="35" t="s">
        <v>243</v>
      </c>
      <c r="D25" s="13">
        <f t="shared" si="0"/>
        <v>13</v>
      </c>
      <c r="E25" s="31" t="s">
        <v>30</v>
      </c>
      <c r="F25" s="38"/>
      <c r="G25" s="38" t="s">
        <v>31</v>
      </c>
      <c r="H25" s="39">
        <v>47615003</v>
      </c>
      <c r="I25" s="28" t="s">
        <v>244</v>
      </c>
      <c r="J25" s="36">
        <v>45992</v>
      </c>
      <c r="K25" s="37" t="s">
        <v>240</v>
      </c>
      <c r="L25" s="13"/>
      <c r="M25" s="13"/>
      <c r="N25" s="13"/>
      <c r="O25" s="13"/>
      <c r="P25" s="13"/>
      <c r="Q25" s="13"/>
      <c r="R25" s="13"/>
      <c r="S25" s="13"/>
      <c r="T25" s="13"/>
      <c r="U25" s="13"/>
      <c r="V25" s="13"/>
      <c r="W25" s="13"/>
      <c r="X25" s="13"/>
      <c r="Y25" s="13"/>
      <c r="Z25" s="13"/>
      <c r="AA25" s="13"/>
      <c r="AB25" s="13"/>
      <c r="AC25" s="13"/>
      <c r="AD25" s="13"/>
      <c r="AE25" s="13"/>
      <c r="AF25" s="13"/>
      <c r="AG25" s="13"/>
      <c r="AH25" s="13"/>
      <c r="AI25" s="13"/>
    </row>
    <row r="26" spans="1:35" customFormat="1" ht="75" x14ac:dyDescent="0.25">
      <c r="A26" s="35" t="s">
        <v>82</v>
      </c>
      <c r="B26" s="35" t="s">
        <v>83</v>
      </c>
      <c r="D26" s="13">
        <f t="shared" si="0"/>
        <v>25</v>
      </c>
      <c r="E26" s="38" t="s">
        <v>84</v>
      </c>
      <c r="F26" s="38"/>
      <c r="G26" s="38" t="s">
        <v>35</v>
      </c>
      <c r="H26" s="39">
        <v>122224000</v>
      </c>
      <c r="I26" s="39" t="s">
        <v>174</v>
      </c>
      <c r="J26" s="40">
        <v>3</v>
      </c>
      <c r="K26" s="41" t="s">
        <v>85</v>
      </c>
      <c r="L26" s="34"/>
      <c r="M26" s="34"/>
      <c r="N26" s="34"/>
      <c r="O26" s="34"/>
      <c r="P26" s="34"/>
      <c r="Q26" s="34"/>
      <c r="R26" s="34"/>
      <c r="S26" s="34"/>
      <c r="T26" s="34"/>
      <c r="U26" s="34"/>
      <c r="V26" s="34"/>
      <c r="W26" s="34"/>
      <c r="X26" s="34"/>
      <c r="Y26" s="34"/>
      <c r="Z26" s="34"/>
      <c r="AA26" s="34"/>
      <c r="AB26" s="34"/>
      <c r="AC26" s="34"/>
      <c r="AD26" s="34"/>
      <c r="AE26" s="34"/>
      <c r="AF26" s="34"/>
      <c r="AG26" s="34"/>
      <c r="AH26" s="34"/>
      <c r="AI26" s="34"/>
    </row>
    <row r="27" spans="1:35" customFormat="1" ht="60" x14ac:dyDescent="0.25">
      <c r="A27" s="24" t="s">
        <v>86</v>
      </c>
      <c r="B27" s="24" t="s">
        <v>87</v>
      </c>
      <c r="D27" s="13">
        <f t="shared" si="0"/>
        <v>16</v>
      </c>
      <c r="E27" s="31" t="s">
        <v>30</v>
      </c>
      <c r="F27" s="38" t="s">
        <v>88</v>
      </c>
      <c r="G27" s="31" t="s">
        <v>38</v>
      </c>
      <c r="H27" s="28">
        <v>441651001</v>
      </c>
      <c r="I27" s="28" t="s">
        <v>175</v>
      </c>
      <c r="J27" s="36">
        <v>45474</v>
      </c>
      <c r="K27" s="37" t="s">
        <v>32</v>
      </c>
      <c r="L27" s="34"/>
      <c r="M27" s="34"/>
      <c r="N27" s="34"/>
      <c r="O27" s="34"/>
      <c r="P27" s="34"/>
      <c r="Q27" s="34"/>
      <c r="R27" s="34"/>
      <c r="S27" s="34"/>
      <c r="T27" s="34"/>
      <c r="U27" s="34"/>
      <c r="V27" s="34"/>
      <c r="W27" s="34"/>
      <c r="X27" s="34"/>
      <c r="Y27" s="34"/>
      <c r="Z27" s="34"/>
      <c r="AA27" s="34"/>
      <c r="AB27" s="34"/>
      <c r="AC27" s="34"/>
      <c r="AD27" s="34"/>
      <c r="AE27" s="34"/>
      <c r="AF27" s="34"/>
      <c r="AG27" s="34"/>
      <c r="AH27" s="34"/>
      <c r="AI27" s="34"/>
    </row>
    <row r="28" spans="1:35" customFormat="1" ht="45" x14ac:dyDescent="0.25">
      <c r="A28" s="35" t="s">
        <v>89</v>
      </c>
      <c r="B28" s="35" t="s">
        <v>90</v>
      </c>
      <c r="D28" s="13">
        <f t="shared" si="0"/>
        <v>32</v>
      </c>
      <c r="E28" s="38" t="s">
        <v>77</v>
      </c>
      <c r="F28" s="38" t="s">
        <v>91</v>
      </c>
      <c r="G28" s="38" t="s">
        <v>248</v>
      </c>
      <c r="H28" s="39">
        <v>117769004</v>
      </c>
      <c r="I28" s="39" t="s">
        <v>176</v>
      </c>
      <c r="J28" s="40">
        <v>4</v>
      </c>
      <c r="K28" s="41" t="s">
        <v>92</v>
      </c>
      <c r="L28" s="13"/>
      <c r="M28" s="13"/>
      <c r="N28" s="13"/>
      <c r="O28" s="13"/>
      <c r="P28" s="13"/>
      <c r="Q28" s="13"/>
      <c r="R28" s="13"/>
      <c r="S28" s="13"/>
      <c r="T28" s="13"/>
      <c r="U28" s="13"/>
      <c r="V28" s="13"/>
      <c r="W28" s="13"/>
      <c r="X28" s="13"/>
      <c r="Y28" s="13"/>
      <c r="Z28" s="13"/>
      <c r="AA28" s="13"/>
      <c r="AB28" s="13"/>
      <c r="AC28" s="13"/>
      <c r="AD28" s="13"/>
      <c r="AE28" s="13"/>
      <c r="AF28" s="13"/>
      <c r="AG28" s="13"/>
      <c r="AH28" s="13"/>
      <c r="AI28" s="13"/>
    </row>
    <row r="29" spans="1:35" customFormat="1" ht="30" x14ac:dyDescent="0.25">
      <c r="A29" s="35" t="s">
        <v>93</v>
      </c>
      <c r="B29" s="35" t="s">
        <v>94</v>
      </c>
      <c r="D29" s="13">
        <f t="shared" si="0"/>
        <v>28</v>
      </c>
      <c r="E29" s="38" t="s">
        <v>77</v>
      </c>
      <c r="F29" s="38" t="s">
        <v>95</v>
      </c>
      <c r="G29" s="38" t="s">
        <v>96</v>
      </c>
      <c r="H29" s="39">
        <v>391483001</v>
      </c>
      <c r="I29" s="28" t="s">
        <v>177</v>
      </c>
      <c r="J29" s="40">
        <v>3</v>
      </c>
      <c r="K29" s="41" t="s">
        <v>40</v>
      </c>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customFormat="1" ht="75" x14ac:dyDescent="0.25">
      <c r="A30" s="35" t="s">
        <v>97</v>
      </c>
      <c r="B30" s="35" t="s">
        <v>209</v>
      </c>
      <c r="D30" s="13">
        <f t="shared" si="0"/>
        <v>30</v>
      </c>
      <c r="E30" s="38" t="s">
        <v>219</v>
      </c>
      <c r="F30" s="38"/>
      <c r="G30" s="38" t="s">
        <v>79</v>
      </c>
      <c r="H30" s="42" t="s">
        <v>178</v>
      </c>
      <c r="I30" s="39" t="s">
        <v>179</v>
      </c>
      <c r="J30" s="36">
        <v>45474</v>
      </c>
      <c r="K30" s="41" t="s">
        <v>210</v>
      </c>
      <c r="L30" s="13"/>
      <c r="M30" s="13"/>
      <c r="N30" s="13"/>
      <c r="O30" s="13"/>
      <c r="P30" s="13"/>
      <c r="Q30" s="13"/>
      <c r="R30" s="13"/>
      <c r="S30" s="13"/>
      <c r="T30" s="13"/>
      <c r="U30" s="13"/>
      <c r="V30" s="13"/>
      <c r="W30" s="13"/>
      <c r="X30" s="13"/>
      <c r="Y30" s="13"/>
      <c r="Z30" s="13"/>
      <c r="AA30" s="13"/>
      <c r="AB30" s="13"/>
      <c r="AC30" s="13"/>
      <c r="AD30" s="13"/>
      <c r="AE30" s="13"/>
      <c r="AF30" s="13"/>
      <c r="AG30" s="13"/>
      <c r="AH30" s="13"/>
      <c r="AI30" s="13"/>
    </row>
    <row r="31" spans="1:35" customFormat="1" ht="30" x14ac:dyDescent="0.25">
      <c r="A31" s="35" t="s">
        <v>98</v>
      </c>
      <c r="B31" s="35" t="s">
        <v>99</v>
      </c>
      <c r="D31" s="13">
        <f t="shared" si="0"/>
        <v>23</v>
      </c>
      <c r="E31" s="38" t="s">
        <v>77</v>
      </c>
      <c r="F31" s="38"/>
      <c r="G31" s="38" t="s">
        <v>79</v>
      </c>
      <c r="H31" s="39">
        <v>413063005</v>
      </c>
      <c r="I31" s="28" t="s">
        <v>180</v>
      </c>
      <c r="J31" s="40">
        <v>3</v>
      </c>
      <c r="K31" s="41" t="s">
        <v>40</v>
      </c>
      <c r="L31" s="13"/>
      <c r="M31" s="13"/>
      <c r="N31" s="13"/>
      <c r="O31" s="13"/>
      <c r="P31" s="13"/>
      <c r="Q31" s="13"/>
      <c r="R31" s="13"/>
      <c r="S31" s="13"/>
      <c r="T31" s="13"/>
      <c r="U31" s="13"/>
      <c r="V31" s="13"/>
      <c r="W31" s="13"/>
      <c r="X31" s="13"/>
      <c r="Y31" s="13"/>
      <c r="Z31" s="13"/>
      <c r="AA31" s="13"/>
      <c r="AB31" s="13"/>
      <c r="AC31" s="13"/>
      <c r="AD31" s="13"/>
      <c r="AE31" s="13"/>
      <c r="AF31" s="13"/>
      <c r="AG31" s="13"/>
      <c r="AH31" s="13"/>
      <c r="AI31" s="13"/>
    </row>
    <row r="32" spans="1:35" customFormat="1" ht="45" x14ac:dyDescent="0.25">
      <c r="A32" s="35" t="s">
        <v>100</v>
      </c>
      <c r="B32" s="24" t="s">
        <v>245</v>
      </c>
      <c r="D32" s="13">
        <f t="shared" si="0"/>
        <v>4</v>
      </c>
      <c r="E32" s="38" t="s">
        <v>30</v>
      </c>
      <c r="F32" s="38"/>
      <c r="G32" s="38" t="s">
        <v>38</v>
      </c>
      <c r="H32" s="39">
        <v>49466006</v>
      </c>
      <c r="I32" s="39" t="s">
        <v>181</v>
      </c>
      <c r="J32" s="36">
        <v>46059</v>
      </c>
      <c r="K32" s="41" t="s">
        <v>247</v>
      </c>
    </row>
    <row r="33" spans="1:35" ht="30" x14ac:dyDescent="0.25">
      <c r="A33" s="35" t="s">
        <v>101</v>
      </c>
      <c r="B33" s="35" t="s">
        <v>102</v>
      </c>
      <c r="D33" s="13">
        <f t="shared" si="0"/>
        <v>23</v>
      </c>
      <c r="E33" s="38" t="s">
        <v>103</v>
      </c>
      <c r="F33" s="38"/>
      <c r="G33" s="38" t="s">
        <v>59</v>
      </c>
      <c r="H33" s="39">
        <v>69874005</v>
      </c>
      <c r="I33" s="28" t="s">
        <v>182</v>
      </c>
      <c r="J33" s="40">
        <v>3</v>
      </c>
      <c r="K33" s="41" t="s">
        <v>40</v>
      </c>
      <c r="L33"/>
      <c r="M33"/>
      <c r="N33"/>
      <c r="O33"/>
      <c r="P33"/>
      <c r="Q33"/>
      <c r="R33"/>
      <c r="S33"/>
      <c r="T33"/>
      <c r="U33"/>
      <c r="V33"/>
      <c r="W33"/>
      <c r="X33"/>
      <c r="Y33"/>
      <c r="Z33"/>
      <c r="AA33"/>
      <c r="AB33"/>
      <c r="AC33"/>
      <c r="AD33"/>
      <c r="AE33"/>
      <c r="AF33"/>
      <c r="AG33"/>
      <c r="AH33"/>
      <c r="AI33"/>
    </row>
    <row r="34" spans="1:35" customFormat="1" ht="60" x14ac:dyDescent="0.25">
      <c r="A34" s="24" t="s">
        <v>104</v>
      </c>
      <c r="B34" s="24" t="s">
        <v>105</v>
      </c>
      <c r="D34" s="13">
        <f t="shared" si="0"/>
        <v>17</v>
      </c>
      <c r="E34" s="31" t="s">
        <v>30</v>
      </c>
      <c r="F34" s="38" t="s">
        <v>88</v>
      </c>
      <c r="G34" s="31" t="s">
        <v>35</v>
      </c>
      <c r="H34" s="43" t="s">
        <v>183</v>
      </c>
      <c r="I34" s="39" t="s">
        <v>184</v>
      </c>
      <c r="J34" s="36">
        <v>45474</v>
      </c>
      <c r="K34" s="37" t="s">
        <v>32</v>
      </c>
      <c r="L34" s="34"/>
      <c r="M34" s="34"/>
      <c r="N34" s="34"/>
      <c r="O34" s="34"/>
      <c r="P34" s="34"/>
      <c r="Q34" s="34"/>
      <c r="R34" s="34"/>
      <c r="S34" s="34"/>
      <c r="T34" s="34"/>
      <c r="U34" s="34"/>
      <c r="V34" s="34"/>
      <c r="W34" s="34"/>
      <c r="X34" s="34"/>
      <c r="Y34" s="34"/>
      <c r="Z34" s="34"/>
      <c r="AA34" s="34"/>
      <c r="AB34" s="34"/>
      <c r="AC34" s="34"/>
      <c r="AD34" s="34"/>
      <c r="AE34" s="34"/>
      <c r="AF34" s="34"/>
      <c r="AG34" s="34"/>
      <c r="AH34" s="34"/>
      <c r="AI34" s="34"/>
    </row>
    <row r="35" spans="1:35" customFormat="1" ht="105" x14ac:dyDescent="0.25">
      <c r="A35" s="24" t="s">
        <v>106</v>
      </c>
      <c r="B35" s="24" t="s">
        <v>107</v>
      </c>
      <c r="D35" s="13">
        <f t="shared" si="0"/>
        <v>12</v>
      </c>
      <c r="E35" s="31" t="s">
        <v>84</v>
      </c>
      <c r="F35" s="13"/>
      <c r="G35" s="31" t="s">
        <v>59</v>
      </c>
      <c r="H35" s="43" t="s">
        <v>185</v>
      </c>
      <c r="I35" s="28" t="s">
        <v>186</v>
      </c>
      <c r="J35" s="36">
        <v>45474</v>
      </c>
      <c r="K35" s="37" t="s">
        <v>32</v>
      </c>
      <c r="L35" s="34"/>
      <c r="M35" s="34"/>
      <c r="N35" s="34"/>
      <c r="O35" s="34"/>
      <c r="P35" s="34"/>
      <c r="Q35" s="34"/>
      <c r="R35" s="34"/>
      <c r="S35" s="34"/>
      <c r="T35" s="34"/>
      <c r="U35" s="34"/>
      <c r="V35" s="34"/>
      <c r="W35" s="34"/>
      <c r="X35" s="34"/>
      <c r="Y35" s="34"/>
      <c r="Z35" s="34"/>
      <c r="AA35" s="34"/>
      <c r="AB35" s="34"/>
      <c r="AC35" s="34"/>
      <c r="AD35" s="34"/>
      <c r="AE35" s="34"/>
      <c r="AF35" s="34"/>
      <c r="AG35" s="34"/>
      <c r="AH35" s="34"/>
      <c r="AI35" s="34"/>
    </row>
    <row r="36" spans="1:35" customFormat="1" ht="90" x14ac:dyDescent="0.25">
      <c r="A36" s="35" t="s">
        <v>108</v>
      </c>
      <c r="B36" s="35" t="s">
        <v>109</v>
      </c>
      <c r="D36" s="13">
        <f t="shared" si="0"/>
        <v>17</v>
      </c>
      <c r="E36" s="38" t="s">
        <v>103</v>
      </c>
      <c r="F36" s="38" t="s">
        <v>110</v>
      </c>
      <c r="G36" s="38" t="s">
        <v>111</v>
      </c>
      <c r="H36" s="39">
        <v>873961000168107</v>
      </c>
      <c r="I36" s="39" t="s">
        <v>187</v>
      </c>
      <c r="J36" s="40">
        <v>4</v>
      </c>
      <c r="K36" s="41" t="s">
        <v>36</v>
      </c>
    </row>
    <row r="37" spans="1:35" customFormat="1" ht="90" x14ac:dyDescent="0.25">
      <c r="A37" s="35" t="s">
        <v>112</v>
      </c>
      <c r="B37" s="35" t="s">
        <v>113</v>
      </c>
      <c r="D37" s="13">
        <f t="shared" si="0"/>
        <v>29</v>
      </c>
      <c r="E37" s="38" t="s">
        <v>103</v>
      </c>
      <c r="F37" s="38" t="s">
        <v>110</v>
      </c>
      <c r="G37" s="38" t="s">
        <v>111</v>
      </c>
      <c r="H37" s="39">
        <v>873981000168103</v>
      </c>
      <c r="I37" s="28" t="s">
        <v>188</v>
      </c>
      <c r="J37" s="40">
        <v>4</v>
      </c>
      <c r="K37" s="41" t="s">
        <v>36</v>
      </c>
    </row>
    <row r="38" spans="1:35" customFormat="1" ht="45" x14ac:dyDescent="0.25">
      <c r="A38" s="24" t="s">
        <v>114</v>
      </c>
      <c r="B38" s="24"/>
      <c r="D38" s="13">
        <f t="shared" si="0"/>
        <v>35</v>
      </c>
      <c r="E38" s="31" t="s">
        <v>30</v>
      </c>
      <c r="F38" s="13"/>
      <c r="G38" s="31" t="s">
        <v>115</v>
      </c>
      <c r="H38" s="28">
        <v>104468006</v>
      </c>
      <c r="I38" s="39" t="s">
        <v>189</v>
      </c>
      <c r="J38" s="36">
        <v>45474</v>
      </c>
      <c r="K38" s="37" t="s">
        <v>32</v>
      </c>
      <c r="L38" s="34"/>
      <c r="M38" s="34"/>
      <c r="N38" s="34"/>
      <c r="O38" s="34"/>
      <c r="P38" s="34"/>
      <c r="Q38" s="34"/>
      <c r="R38" s="34"/>
      <c r="S38" s="34"/>
      <c r="T38" s="34"/>
      <c r="U38" s="34"/>
      <c r="V38" s="34"/>
      <c r="W38" s="34"/>
      <c r="X38" s="34"/>
      <c r="Y38" s="34"/>
      <c r="Z38" s="34"/>
      <c r="AA38" s="34"/>
      <c r="AB38" s="34"/>
      <c r="AC38" s="34"/>
      <c r="AD38" s="34"/>
      <c r="AE38" s="34"/>
      <c r="AF38" s="34"/>
      <c r="AG38" s="34"/>
      <c r="AH38" s="34"/>
      <c r="AI38" s="34"/>
    </row>
    <row r="39" spans="1:35" customFormat="1" ht="45" x14ac:dyDescent="0.25">
      <c r="A39" s="24" t="s">
        <v>116</v>
      </c>
      <c r="B39" s="24" t="s">
        <v>117</v>
      </c>
      <c r="D39" s="13">
        <f t="shared" si="0"/>
        <v>19</v>
      </c>
      <c r="E39" s="31" t="s">
        <v>118</v>
      </c>
      <c r="F39" s="13"/>
      <c r="G39" s="31" t="s">
        <v>115</v>
      </c>
      <c r="H39" s="28">
        <v>104471003</v>
      </c>
      <c r="I39" s="28" t="s">
        <v>190</v>
      </c>
      <c r="J39" s="36">
        <v>45474</v>
      </c>
      <c r="K39" s="41" t="s">
        <v>119</v>
      </c>
      <c r="L39" s="34"/>
      <c r="M39" s="34"/>
      <c r="N39" s="34"/>
      <c r="O39" s="34"/>
      <c r="P39" s="34"/>
      <c r="Q39" s="34"/>
      <c r="R39" s="34"/>
      <c r="S39" s="34"/>
      <c r="T39" s="34"/>
      <c r="U39" s="34"/>
      <c r="V39" s="34"/>
      <c r="W39" s="34"/>
      <c r="X39" s="34"/>
      <c r="Y39" s="34"/>
      <c r="Z39" s="34"/>
      <c r="AA39" s="34"/>
      <c r="AB39" s="34"/>
      <c r="AC39" s="34"/>
      <c r="AD39" s="34"/>
      <c r="AE39" s="34"/>
      <c r="AF39" s="34"/>
      <c r="AG39" s="34"/>
      <c r="AH39" s="34"/>
      <c r="AI39" s="34"/>
    </row>
    <row r="40" spans="1:35" customFormat="1" ht="45" x14ac:dyDescent="0.25">
      <c r="A40" s="24" t="s">
        <v>120</v>
      </c>
      <c r="B40" s="24" t="s">
        <v>121</v>
      </c>
      <c r="D40" s="13">
        <f t="shared" si="0"/>
        <v>23</v>
      </c>
      <c r="E40" s="31" t="s">
        <v>118</v>
      </c>
      <c r="F40" s="13"/>
      <c r="G40" s="31" t="s">
        <v>44</v>
      </c>
      <c r="H40" s="43" t="s">
        <v>191</v>
      </c>
      <c r="I40" s="39" t="s">
        <v>192</v>
      </c>
      <c r="J40" s="36">
        <v>45474</v>
      </c>
      <c r="K40" s="37" t="s">
        <v>32</v>
      </c>
      <c r="L40" s="34"/>
      <c r="M40" s="34"/>
      <c r="N40" s="34"/>
      <c r="O40" s="34"/>
      <c r="P40" s="34"/>
      <c r="Q40" s="34"/>
      <c r="R40" s="34"/>
      <c r="S40" s="34"/>
      <c r="T40" s="34"/>
      <c r="U40" s="34"/>
      <c r="V40" s="34"/>
      <c r="W40" s="34"/>
      <c r="X40" s="34"/>
      <c r="Y40" s="34"/>
      <c r="Z40" s="34"/>
      <c r="AA40" s="34"/>
      <c r="AB40" s="34"/>
      <c r="AC40" s="34"/>
      <c r="AD40" s="34"/>
      <c r="AE40" s="34"/>
      <c r="AF40" s="34"/>
      <c r="AG40" s="34"/>
      <c r="AH40" s="34"/>
      <c r="AI40" s="34"/>
    </row>
    <row r="41" spans="1:35" customFormat="1" ht="45" x14ac:dyDescent="0.25">
      <c r="A41" s="24" t="s">
        <v>122</v>
      </c>
      <c r="B41" s="24" t="s">
        <v>123</v>
      </c>
      <c r="D41" s="13">
        <f t="shared" si="0"/>
        <v>33</v>
      </c>
      <c r="E41" s="31" t="s">
        <v>118</v>
      </c>
      <c r="F41" s="13"/>
      <c r="G41" s="31" t="s">
        <v>124</v>
      </c>
      <c r="H41" s="43" t="s">
        <v>193</v>
      </c>
      <c r="I41" s="28" t="s">
        <v>194</v>
      </c>
      <c r="J41" s="36">
        <v>45474</v>
      </c>
      <c r="K41" s="37" t="s">
        <v>32</v>
      </c>
      <c r="L41" s="34"/>
      <c r="M41" s="34"/>
      <c r="N41" s="34"/>
      <c r="O41" s="34"/>
      <c r="P41" s="34"/>
      <c r="Q41" s="34"/>
      <c r="R41" s="34"/>
      <c r="S41" s="34"/>
      <c r="T41" s="34"/>
      <c r="U41" s="34"/>
      <c r="V41" s="34"/>
      <c r="W41" s="34"/>
      <c r="X41" s="34"/>
      <c r="Y41" s="34"/>
      <c r="Z41" s="34"/>
      <c r="AA41" s="34"/>
      <c r="AB41" s="34"/>
      <c r="AC41" s="34"/>
      <c r="AD41" s="34"/>
      <c r="AE41" s="34"/>
      <c r="AF41" s="34"/>
      <c r="AG41" s="34"/>
      <c r="AH41" s="34"/>
      <c r="AI41" s="34"/>
    </row>
    <row r="42" spans="1:35" customFormat="1" ht="60" x14ac:dyDescent="0.25">
      <c r="A42" s="24" t="s">
        <v>217</v>
      </c>
      <c r="B42" s="24" t="s">
        <v>216</v>
      </c>
      <c r="D42" s="13">
        <f t="shared" si="0"/>
        <v>23</v>
      </c>
      <c r="E42" s="31" t="s">
        <v>118</v>
      </c>
      <c r="F42" s="13"/>
      <c r="G42" s="31" t="s">
        <v>218</v>
      </c>
      <c r="H42" s="43" t="s">
        <v>230</v>
      </c>
      <c r="I42" s="28" t="s">
        <v>231</v>
      </c>
      <c r="J42" s="36">
        <v>45809</v>
      </c>
      <c r="K42" s="41" t="s">
        <v>232</v>
      </c>
      <c r="L42" s="34"/>
      <c r="M42" s="34"/>
      <c r="N42" s="34"/>
      <c r="O42" s="34"/>
      <c r="P42" s="34"/>
      <c r="Q42" s="34"/>
      <c r="R42" s="34"/>
      <c r="S42" s="34"/>
      <c r="T42" s="34"/>
      <c r="U42" s="34"/>
      <c r="V42" s="34"/>
      <c r="W42" s="34"/>
      <c r="X42" s="34"/>
      <c r="Y42" s="34"/>
      <c r="Z42" s="34"/>
      <c r="AA42" s="34"/>
      <c r="AB42" s="34"/>
      <c r="AC42" s="34"/>
      <c r="AD42" s="34"/>
      <c r="AE42" s="34"/>
      <c r="AF42" s="34"/>
      <c r="AG42" s="34"/>
      <c r="AH42" s="34"/>
      <c r="AI42" s="34"/>
    </row>
    <row r="43" spans="1:35" customFormat="1" ht="30" x14ac:dyDescent="0.25">
      <c r="A43" s="35" t="s">
        <v>125</v>
      </c>
      <c r="B43" s="35" t="s">
        <v>126</v>
      </c>
      <c r="D43" s="13">
        <f t="shared" si="0"/>
        <v>13</v>
      </c>
      <c r="E43" s="38" t="s">
        <v>127</v>
      </c>
      <c r="F43" s="38"/>
      <c r="G43" s="38" t="s">
        <v>35</v>
      </c>
      <c r="H43" s="39">
        <v>104311005</v>
      </c>
      <c r="I43" s="39" t="s">
        <v>195</v>
      </c>
      <c r="J43" s="40">
        <v>3</v>
      </c>
      <c r="K43" s="41" t="s">
        <v>40</v>
      </c>
      <c r="L43" s="13"/>
      <c r="M43" s="13"/>
      <c r="N43" s="13"/>
      <c r="O43" s="13"/>
      <c r="P43" s="13"/>
      <c r="Q43" s="13"/>
      <c r="R43" s="13"/>
      <c r="S43" s="13"/>
      <c r="T43" s="13"/>
      <c r="U43" s="13"/>
      <c r="V43" s="13"/>
      <c r="W43" s="13"/>
      <c r="X43" s="13"/>
      <c r="Y43" s="13"/>
      <c r="Z43" s="13"/>
      <c r="AA43" s="13"/>
      <c r="AB43" s="13"/>
      <c r="AC43" s="13"/>
      <c r="AD43" s="13"/>
      <c r="AE43" s="13"/>
      <c r="AF43" s="13"/>
      <c r="AG43" s="13"/>
      <c r="AH43" s="13"/>
      <c r="AI43" s="13"/>
    </row>
    <row r="44" spans="1:35" customFormat="1" ht="45" x14ac:dyDescent="0.25">
      <c r="A44" s="35" t="s">
        <v>128</v>
      </c>
      <c r="B44" s="35"/>
      <c r="D44" s="13">
        <f t="shared" si="0"/>
        <v>20</v>
      </c>
      <c r="E44" s="38" t="s">
        <v>127</v>
      </c>
      <c r="F44" s="38"/>
      <c r="G44" s="38" t="s">
        <v>129</v>
      </c>
      <c r="H44" s="39">
        <v>121960004</v>
      </c>
      <c r="I44" s="28" t="s">
        <v>196</v>
      </c>
      <c r="J44" s="40">
        <v>3</v>
      </c>
      <c r="K44" s="41" t="s">
        <v>130</v>
      </c>
      <c r="L44" s="13"/>
      <c r="M44" s="13"/>
      <c r="N44" s="13"/>
      <c r="O44" s="13"/>
      <c r="P44" s="13"/>
      <c r="Q44" s="13"/>
      <c r="R44" s="13"/>
      <c r="S44" s="13"/>
      <c r="T44" s="13"/>
      <c r="U44" s="13"/>
      <c r="V44" s="13"/>
      <c r="W44" s="13"/>
      <c r="X44" s="13"/>
      <c r="Y44" s="13"/>
      <c r="Z44" s="13"/>
      <c r="AA44" s="13"/>
      <c r="AB44" s="13"/>
      <c r="AC44" s="13"/>
      <c r="AD44" s="13"/>
      <c r="AE44" s="13"/>
      <c r="AF44" s="13"/>
      <c r="AG44" s="13"/>
      <c r="AH44" s="13"/>
      <c r="AI44" s="13"/>
    </row>
    <row r="45" spans="1:35" customFormat="1" ht="45" x14ac:dyDescent="0.25">
      <c r="A45" s="35" t="s">
        <v>131</v>
      </c>
      <c r="B45" s="35" t="s">
        <v>211</v>
      </c>
      <c r="D45" s="13">
        <f t="shared" si="0"/>
        <v>23</v>
      </c>
      <c r="E45" s="38" t="s">
        <v>219</v>
      </c>
      <c r="F45" s="38"/>
      <c r="G45" s="38" t="s">
        <v>79</v>
      </c>
      <c r="H45" s="39">
        <v>413450008</v>
      </c>
      <c r="I45" s="39" t="s">
        <v>197</v>
      </c>
      <c r="J45" s="36">
        <v>45474</v>
      </c>
      <c r="K45" s="41" t="s">
        <v>132</v>
      </c>
      <c r="L45" s="13"/>
      <c r="M45" s="13"/>
      <c r="N45" s="13"/>
      <c r="O45" s="13"/>
      <c r="P45" s="13"/>
      <c r="Q45" s="13"/>
      <c r="R45" s="13"/>
      <c r="S45" s="13"/>
      <c r="T45" s="13"/>
      <c r="U45" s="13"/>
      <c r="V45" s="13"/>
      <c r="W45" s="13"/>
      <c r="X45" s="13"/>
      <c r="Y45" s="13"/>
      <c r="Z45" s="13"/>
      <c r="AA45" s="13"/>
      <c r="AB45" s="13"/>
      <c r="AC45" s="13"/>
      <c r="AD45" s="13"/>
      <c r="AE45" s="13"/>
      <c r="AF45" s="13"/>
      <c r="AG45" s="13"/>
      <c r="AH45" s="13"/>
      <c r="AI45" s="13"/>
    </row>
    <row r="46" spans="1:35" customFormat="1" ht="45" x14ac:dyDescent="0.25">
      <c r="A46" s="35" t="s">
        <v>133</v>
      </c>
      <c r="B46" s="35" t="s">
        <v>134</v>
      </c>
      <c r="D46" s="13">
        <f t="shared" si="0"/>
        <v>10</v>
      </c>
      <c r="E46" s="38" t="s">
        <v>84</v>
      </c>
      <c r="F46" s="38"/>
      <c r="G46" s="38" t="s">
        <v>35</v>
      </c>
      <c r="H46" s="39">
        <v>104391006</v>
      </c>
      <c r="I46" s="28" t="s">
        <v>198</v>
      </c>
      <c r="J46" s="40">
        <v>3</v>
      </c>
      <c r="K46" s="41" t="s">
        <v>40</v>
      </c>
      <c r="L46" s="34"/>
      <c r="M46" s="34"/>
      <c r="N46" s="34"/>
      <c r="O46" s="34"/>
      <c r="P46" s="34"/>
      <c r="Q46" s="34"/>
      <c r="R46" s="34"/>
      <c r="S46" s="34"/>
      <c r="T46" s="34"/>
      <c r="U46" s="34"/>
      <c r="V46" s="34"/>
      <c r="W46" s="34"/>
      <c r="X46" s="34"/>
      <c r="Y46" s="34"/>
      <c r="Z46" s="34"/>
      <c r="AA46" s="34"/>
      <c r="AB46" s="34"/>
      <c r="AC46" s="34"/>
      <c r="AD46" s="34"/>
      <c r="AE46" s="34"/>
      <c r="AF46" s="34"/>
      <c r="AG46" s="34"/>
      <c r="AH46" s="34"/>
      <c r="AI46" s="34"/>
    </row>
    <row r="47" spans="1:35" customFormat="1" ht="60" x14ac:dyDescent="0.25">
      <c r="A47" s="35" t="s">
        <v>135</v>
      </c>
      <c r="B47" s="35" t="s">
        <v>136</v>
      </c>
      <c r="D47" s="13">
        <f t="shared" si="0"/>
        <v>10</v>
      </c>
      <c r="E47" s="38" t="s">
        <v>30</v>
      </c>
      <c r="F47" s="38"/>
      <c r="G47" s="38" t="s">
        <v>59</v>
      </c>
      <c r="H47" s="39">
        <v>313620009</v>
      </c>
      <c r="I47" s="39" t="s">
        <v>199</v>
      </c>
      <c r="J47" s="40">
        <v>3.1</v>
      </c>
      <c r="K47" s="41" t="s">
        <v>137</v>
      </c>
    </row>
    <row r="48" spans="1:35" customFormat="1" ht="45" x14ac:dyDescent="0.25">
      <c r="A48" s="35" t="s">
        <v>225</v>
      </c>
      <c r="B48" s="35" t="s">
        <v>138</v>
      </c>
      <c r="D48" s="13">
        <f t="shared" si="0"/>
        <v>20</v>
      </c>
      <c r="E48" s="38" t="s">
        <v>30</v>
      </c>
      <c r="F48" s="38"/>
      <c r="G48" s="38" t="s">
        <v>63</v>
      </c>
      <c r="H48" s="39">
        <v>313968000</v>
      </c>
      <c r="I48" s="28" t="s">
        <v>200</v>
      </c>
      <c r="J48" s="40">
        <v>3</v>
      </c>
      <c r="K48" s="41" t="s">
        <v>139</v>
      </c>
    </row>
    <row r="49" spans="1:35" customFormat="1" ht="60" x14ac:dyDescent="0.25">
      <c r="A49" s="35" t="s">
        <v>140</v>
      </c>
      <c r="B49" s="35" t="s">
        <v>141</v>
      </c>
      <c r="D49" s="13">
        <f t="shared" si="0"/>
        <v>3</v>
      </c>
      <c r="E49" s="38" t="s">
        <v>30</v>
      </c>
      <c r="F49" s="38"/>
      <c r="G49" s="38" t="s">
        <v>35</v>
      </c>
      <c r="H49" s="39">
        <v>104404005</v>
      </c>
      <c r="I49" s="39" t="s">
        <v>201</v>
      </c>
      <c r="J49" s="40">
        <v>4</v>
      </c>
      <c r="K49" s="41" t="s">
        <v>142</v>
      </c>
    </row>
    <row r="50" spans="1:35" customFormat="1" ht="60" x14ac:dyDescent="0.25">
      <c r="A50" s="35" t="s">
        <v>143</v>
      </c>
      <c r="B50" s="35" t="s">
        <v>144</v>
      </c>
      <c r="D50" s="13">
        <f t="shared" si="0"/>
        <v>18</v>
      </c>
      <c r="E50" s="38" t="s">
        <v>30</v>
      </c>
      <c r="F50" s="38"/>
      <c r="G50" s="38" t="s">
        <v>145</v>
      </c>
      <c r="H50" s="39">
        <v>27220002</v>
      </c>
      <c r="I50" s="28" t="s">
        <v>202</v>
      </c>
      <c r="J50" s="40">
        <v>4</v>
      </c>
      <c r="K50" s="41" t="s">
        <v>146</v>
      </c>
    </row>
    <row r="51" spans="1:35" customFormat="1" ht="30" x14ac:dyDescent="0.25">
      <c r="A51" s="24" t="s">
        <v>147</v>
      </c>
      <c r="B51" s="24" t="s">
        <v>148</v>
      </c>
      <c r="D51" s="13">
        <f t="shared" si="0"/>
        <v>14</v>
      </c>
      <c r="E51" s="31" t="s">
        <v>30</v>
      </c>
      <c r="F51" s="13"/>
      <c r="G51" s="31" t="s">
        <v>38</v>
      </c>
      <c r="H51" s="28">
        <v>275833003</v>
      </c>
      <c r="I51" s="39" t="s">
        <v>203</v>
      </c>
      <c r="J51" s="36">
        <v>45474</v>
      </c>
      <c r="K51" s="37" t="s">
        <v>32</v>
      </c>
      <c r="L51" s="34"/>
      <c r="M51" s="34"/>
      <c r="N51" s="34"/>
      <c r="O51" s="34"/>
      <c r="P51" s="34"/>
      <c r="Q51" s="34"/>
      <c r="R51" s="34"/>
      <c r="S51" s="34"/>
      <c r="T51" s="34"/>
      <c r="U51" s="34"/>
      <c r="V51" s="34"/>
      <c r="W51" s="34"/>
      <c r="X51" s="34"/>
      <c r="Y51" s="34"/>
      <c r="Z51" s="34"/>
      <c r="AA51" s="34"/>
      <c r="AB51" s="34"/>
      <c r="AC51" s="34"/>
      <c r="AD51" s="34"/>
      <c r="AE51" s="34"/>
      <c r="AF51" s="34"/>
      <c r="AG51" s="34"/>
      <c r="AH51" s="34"/>
      <c r="AI51" s="34"/>
    </row>
  </sheetData>
  <sheetProtection selectLockedCells="1" selectUnlockedCells="1"/>
  <autoFilter ref="A1:AI51" xr:uid="{D1FB43F6-F1D9-4B78-A986-94C4B92BCE9F}"/>
  <sortState xmlns:xlrd2="http://schemas.microsoft.com/office/spreadsheetml/2017/richdata2" ref="A2:AI51">
    <sortCondition ref="A2:A51"/>
  </sortState>
  <phoneticPr fontId="11" type="noConversion"/>
  <pageMargins left="0.7" right="0.7" top="0.75" bottom="0.75" header="0.3" footer="0.3"/>
  <pageSetup orientation="portrait" horizontalDpi="1200" verticalDpi="1200" r:id="rId1"/>
  <headerFooter>
    <oddHeader>&amp;C&amp;"Aptos"&amp;12&amp;KFF0000 OFFICIAL&amp;1#_x000D_</oddHeader>
    <oddFooter>&amp;C_x000D_&amp;1#&amp;"Aptos"&amp;12&amp;KFF0000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709EC0B6767642857278FCDEC44E46" ma:contentTypeVersion="30" ma:contentTypeDescription="Create a new document." ma:contentTypeScope="" ma:versionID="1ee03691639a8f05ebefacf9516d4381">
  <xsd:schema xmlns:xsd="http://www.w3.org/2001/XMLSchema" xmlns:xs="http://www.w3.org/2001/XMLSchema" xmlns:p="http://schemas.microsoft.com/office/2006/metadata/properties" xmlns:ns2="5ea53eb3-ceeb-4aea-adec-1cebb1c108c9" xmlns:ns3="adb34511-2bf0-4daf-bece-d1f19809ac0c" targetNamespace="http://schemas.microsoft.com/office/2006/metadata/properties" ma:root="true" ma:fieldsID="6e1319af19b2c6c217d8cc00c7ff94de" ns2:_="" ns3:_="">
    <xsd:import namespace="5ea53eb3-ceeb-4aea-adec-1cebb1c108c9"/>
    <xsd:import namespace="adb34511-2bf0-4daf-bece-d1f19809ac0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Location" minOccurs="0"/>
                <xsd:element ref="ns2:bd48896b-cf5f-4922-9026-f05db1cb8f9fCountryOrRegion" minOccurs="0"/>
                <xsd:element ref="ns2:bd48896b-cf5f-4922-9026-f05db1cb8f9fState" minOccurs="0"/>
                <xsd:element ref="ns2:bd48896b-cf5f-4922-9026-f05db1cb8f9fCity" minOccurs="0"/>
                <xsd:element ref="ns2:bd48896b-cf5f-4922-9026-f05db1cb8f9fPostalCode" minOccurs="0"/>
                <xsd:element ref="ns2:bd48896b-cf5f-4922-9026-f05db1cb8f9fStreet" minOccurs="0"/>
                <xsd:element ref="ns2:bd48896b-cf5f-4922-9026-f05db1cb8f9fGeoLoc" minOccurs="0"/>
                <xsd:element ref="ns2:bd48896b-cf5f-4922-9026-f05db1cb8f9f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53eb3-ceeb-4aea-adec-1cebb1c108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b1207d3-53f3-4e00-bb8a-e464cad0dc4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Location" ma:index="26" nillable="true" ma:displayName="Location" ma:format="Dropdown" ma:internalName="Location">
      <xsd:simpleType>
        <xsd:restriction base="dms:Unknown"/>
      </xsd:simpleType>
    </xsd:element>
    <xsd:element name="bd48896b-cf5f-4922-9026-f05db1cb8f9fCountryOrRegion" ma:index="27" nillable="true" ma:displayName="Location: Country/Region" ma:internalName="CountryOrRegion" ma:readOnly="true">
      <xsd:simpleType>
        <xsd:restriction base="dms:Text"/>
      </xsd:simpleType>
    </xsd:element>
    <xsd:element name="bd48896b-cf5f-4922-9026-f05db1cb8f9fState" ma:index="28" nillable="true" ma:displayName="Location: State" ma:internalName="State" ma:readOnly="true">
      <xsd:simpleType>
        <xsd:restriction base="dms:Text"/>
      </xsd:simpleType>
    </xsd:element>
    <xsd:element name="bd48896b-cf5f-4922-9026-f05db1cb8f9fCity" ma:index="29" nillable="true" ma:displayName="Location: City" ma:internalName="City" ma:readOnly="true">
      <xsd:simpleType>
        <xsd:restriction base="dms:Text"/>
      </xsd:simpleType>
    </xsd:element>
    <xsd:element name="bd48896b-cf5f-4922-9026-f05db1cb8f9fPostalCode" ma:index="30" nillable="true" ma:displayName="Location: Postal Code" ma:internalName="PostalCode" ma:readOnly="true">
      <xsd:simpleType>
        <xsd:restriction base="dms:Text"/>
      </xsd:simpleType>
    </xsd:element>
    <xsd:element name="bd48896b-cf5f-4922-9026-f05db1cb8f9fStreet" ma:index="31" nillable="true" ma:displayName="Location: Street" ma:internalName="Street" ma:readOnly="true">
      <xsd:simpleType>
        <xsd:restriction base="dms:Text"/>
      </xsd:simpleType>
    </xsd:element>
    <xsd:element name="bd48896b-cf5f-4922-9026-f05db1cb8f9fGeoLoc" ma:index="32" nillable="true" ma:displayName="Location: Coordinates" ma:internalName="GeoLoc" ma:readOnly="true">
      <xsd:simpleType>
        <xsd:restriction base="dms:Unknown"/>
      </xsd:simpleType>
    </xsd:element>
    <xsd:element name="bd48896b-cf5f-4922-9026-f05db1cb8f9fDispName" ma:index="33" nillable="true" ma:displayName="Location: Name" ma:internalName="Disp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b34511-2bf0-4daf-bece-d1f19809ac0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3e0e4ac1-cde6-488f-b45a-0db1a5bf49d2}" ma:internalName="TaxCatchAll" ma:showField="CatchAllData" ma:web="adb34511-2bf0-4daf-bece-d1f19809ac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db34511-2bf0-4daf-bece-d1f19809ac0c" xsi:nil="true"/>
    <lcf76f155ced4ddcb4097134ff3c332f xmlns="5ea53eb3-ceeb-4aea-adec-1cebb1c108c9">
      <Terms xmlns="http://schemas.microsoft.com/office/infopath/2007/PartnerControls"/>
    </lcf76f155ced4ddcb4097134ff3c332f>
    <Location xmlns="5ea53eb3-ceeb-4aea-adec-1cebb1c108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9B9389-4A4E-490C-9BE0-7F25CABE03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53eb3-ceeb-4aea-adec-1cebb1c108c9"/>
    <ds:schemaRef ds:uri="adb34511-2bf0-4daf-bece-d1f19809ac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CDA3CD-2E8B-44CD-9751-25840A522530}">
  <ds:schemaRefs>
    <ds:schemaRef ds:uri="http://schemas.microsoft.com/office/2006/metadata/properties"/>
    <ds:schemaRef ds:uri="http://schemas.microsoft.com/office/infopath/2007/PartnerControls"/>
    <ds:schemaRef ds:uri="adb34511-2bf0-4daf-bece-d1f19809ac0c"/>
    <ds:schemaRef ds:uri="5ea53eb3-ceeb-4aea-adec-1cebb1c108c9"/>
  </ds:schemaRefs>
</ds:datastoreItem>
</file>

<file path=customXml/itemProps3.xml><?xml version="1.0" encoding="utf-8"?>
<ds:datastoreItem xmlns:ds="http://schemas.openxmlformats.org/officeDocument/2006/customXml" ds:itemID="{CF1558C0-9833-453C-B7A5-5360A30EA7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Rev History</vt:lpstr>
      <vt:lpstr>RCPA SPIA Requesting_Jun 2026</vt:lpstr>
      <vt:lpstr>'Rev History'!Print_Area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Requesting terminology reference set</dc:title>
  <dc:subject/>
  <dc:creator>RCPA;PITUS Project</dc:creator>
  <cp:keywords>PITUS</cp:keywords>
  <dc:description>Copyright © 2013- 2017 RCPA. All rights reserved.</dc:description>
  <cp:lastModifiedBy>Cordell, Matt (Biosecurity, Herston)</cp:lastModifiedBy>
  <cp:revision/>
  <dcterms:created xsi:type="dcterms:W3CDTF">2012-11-20T01:22:34Z</dcterms:created>
  <dcterms:modified xsi:type="dcterms:W3CDTF">2026-08-04T00:07:49Z</dcterms:modified>
  <cp:category/>
  <cp:contentStatus>RCPA Board approved (2017)</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0x010100E8709EC0B6767642857278FCDEC44E46</vt:lpwstr>
  </property>
  <property fmtid="{D5CDD505-2E9C-101B-9397-08002B2CF9AE}" pid="3" name="MediaServiceImageTags">
    <vt:lpwstr/>
  </property>
  <property fmtid="{D5CDD505-2E9C-101B-9397-08002B2CF9AE}" pid="4" name="MSIP_Label_0ad370f1-5840-4c36-bb65-89acaaf849ca_Enabled">
    <vt:lpwstr>true</vt:lpwstr>
  </property>
  <property fmtid="{D5CDD505-2E9C-101B-9397-08002B2CF9AE}" pid="5" name="MSIP_Label_0ad370f1-5840-4c36-bb65-89acaaf849ca_SetDate">
    <vt:lpwstr>2026-08-04T00:07:23Z</vt:lpwstr>
  </property>
  <property fmtid="{D5CDD505-2E9C-101B-9397-08002B2CF9AE}" pid="6" name="MSIP_Label_0ad370f1-5840-4c36-bb65-89acaaf849ca_Method">
    <vt:lpwstr>Privileged</vt:lpwstr>
  </property>
  <property fmtid="{D5CDD505-2E9C-101B-9397-08002B2CF9AE}" pid="7" name="MSIP_Label_0ad370f1-5840-4c36-bb65-89acaaf849ca_Name">
    <vt:lpwstr>OFFICIAL</vt:lpwstr>
  </property>
  <property fmtid="{D5CDD505-2E9C-101B-9397-08002B2CF9AE}" pid="8" name="MSIP_Label_0ad370f1-5840-4c36-bb65-89acaaf849ca_SiteId">
    <vt:lpwstr>0fe05593-19ac-4f98-adbf-0375fce7f160</vt:lpwstr>
  </property>
  <property fmtid="{D5CDD505-2E9C-101B-9397-08002B2CF9AE}" pid="9" name="MSIP_Label_0ad370f1-5840-4c36-bb65-89acaaf849ca_ActionId">
    <vt:lpwstr>8386f260-263f-4e7c-93e5-90b2ff9fd8ec</vt:lpwstr>
  </property>
  <property fmtid="{D5CDD505-2E9C-101B-9397-08002B2CF9AE}" pid="10" name="MSIP_Label_0ad370f1-5840-4c36-bb65-89acaaf849ca_ContentBits">
    <vt:lpwstr>3</vt:lpwstr>
  </property>
  <property fmtid="{D5CDD505-2E9C-101B-9397-08002B2CF9AE}" pid="11" name="MSIP_Label_0ad370f1-5840-4c36-bb65-89acaaf849ca_Tag">
    <vt:lpwstr>10, 0, 1, 1</vt:lpwstr>
  </property>
</Properties>
</file>